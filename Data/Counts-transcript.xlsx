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nseh/Desktop/Github/NCLTEE/Data/"/>
    </mc:Choice>
  </mc:AlternateContent>
  <xr:revisionPtr revIDLastSave="0" documentId="8_{6950A081-CE1C-7248-9996-1A890D987465}" xr6:coauthVersionLast="47" xr6:coauthVersionMax="47" xr10:uidLastSave="{00000000-0000-0000-0000-000000000000}"/>
  <bookViews>
    <workbookView xWindow="5180" yWindow="3000" windowWidth="28040" windowHeight="17440" activeTab="1" xr2:uid="{D7831DFC-5F48-D34B-92FE-B1E3530E0E8B}"/>
  </bookViews>
  <sheets>
    <sheet name="NH4+" sheetId="1" r:id="rId1"/>
    <sheet name="F2" sheetId="2" r:id="rId2"/>
  </sheets>
  <definedNames>
    <definedName name="Abundance_Tetraselmis" localSheetId="0">'NH4+'!$A$1:$J$505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2" l="1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J4" i="2"/>
  <c r="I4" i="2"/>
  <c r="J3" i="2"/>
  <c r="I3" i="2"/>
  <c r="J2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8ACC0-4EF1-794F-A387-198D10BF46FC}" name="Abundance_Tetraselmis" type="6" refreshedVersion="8" background="1" saveData="1">
    <textPr codePage="10000" sourceFile="/Users/nnseh/Desktop/Github/NCLTEE/Data/Abundance_Tetraselmis.csv" thousands="_x0000_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<sst xmlns="http://schemas.openxmlformats.org/spreadsheetml/2006/main" count="128" uniqueCount="25">
  <si>
    <t>id</t>
  </si>
  <si>
    <t>culture</t>
  </si>
  <si>
    <t>biorep</t>
  </si>
  <si>
    <t>time</t>
  </si>
  <si>
    <t>day</t>
  </si>
  <si>
    <t>dilution</t>
  </si>
  <si>
    <t>squares</t>
  </si>
  <si>
    <t>cells</t>
  </si>
  <si>
    <t>cellsml</t>
  </si>
  <si>
    <t>log10</t>
  </si>
  <si>
    <t>c</t>
  </si>
  <si>
    <t>c1</t>
  </si>
  <si>
    <t>d</t>
  </si>
  <si>
    <t>d1</t>
  </si>
  <si>
    <t>p</t>
  </si>
  <si>
    <t>p1</t>
  </si>
  <si>
    <t>c2</t>
  </si>
  <si>
    <t>d2</t>
  </si>
  <si>
    <t>p2</t>
  </si>
  <si>
    <t>c3</t>
  </si>
  <si>
    <t>d3</t>
  </si>
  <si>
    <t>p3</t>
  </si>
  <si>
    <t>c4</t>
  </si>
  <si>
    <t>d4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</si>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</sst>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undance_Tetraselmis" connectionId="1" xr16:uid="{21136621-0ABE-8345-A905-2E435B21136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B96F-068A-4D4D-93CB-38A6C5DB8602}">
  <dimension ref="A1:J28"/>
  <sheetViews>
    <sheetView workbookViewId="0">
      <selection sqref="A1:J28"/>
    </sheetView>
  </sheetViews>
  <sheetFormatPr baseColWidth="10" defaultRowHeight="16" x14ac:dyDescent="0.2"/>
  <cols>
    <col min="1" max="1" width="6.83203125" bestFit="1" customWidth="1"/>
    <col min="2" max="2" width="6.33203125" bestFit="1" customWidth="1"/>
    <col min="3" max="3" width="7.33203125" bestFit="1" customWidth="1"/>
    <col min="4" max="4" width="5" bestFit="1" customWidth="1"/>
    <col min="5" max="5" width="7.33203125" bestFit="1" customWidth="1"/>
    <col min="6" max="6" width="12.1640625" bestFit="1" customWidth="1"/>
    <col min="7" max="7" width="7.5" bestFit="1" customWidth="1"/>
    <col min="8" max="8" width="7" bestFit="1" customWidth="1"/>
    <col min="9" max="9" width="8.6640625" style="1" bestFit="1" customWidth="1"/>
    <col min="10" max="10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2">
      <c r="A2">
        <v>0</v>
      </c>
      <c r="B2" t="s">
        <v>14</v>
      </c>
      <c r="C2" t="s">
        <v>14</v>
      </c>
      <c r="D2">
        <v>0</v>
      </c>
      <c r="E2">
        <v>0</v>
      </c>
      <c r="F2">
        <v>0</v>
      </c>
      <c r="G2">
        <v>4</v>
      </c>
      <c r="H2">
        <v>15</v>
      </c>
      <c r="I2" s="1">
        <f>(H2*10000)/(1*4)</f>
        <v>37500</v>
      </c>
      <c r="J2">
        <f>LOG10(I2)</f>
        <v>4.5740312677277188</v>
      </c>
    </row>
    <row r="3" spans="1:10" x14ac:dyDescent="0.2">
      <c r="A3">
        <v>0</v>
      </c>
      <c r="B3" t="s">
        <v>12</v>
      </c>
      <c r="C3" t="s">
        <v>12</v>
      </c>
      <c r="D3">
        <v>0</v>
      </c>
      <c r="E3">
        <v>0</v>
      </c>
      <c r="F3">
        <v>0</v>
      </c>
      <c r="G3">
        <v>4</v>
      </c>
      <c r="H3">
        <v>17</v>
      </c>
      <c r="I3" s="1">
        <f t="shared" ref="I3:I16" si="0">(H3*10000)/(1*4)</f>
        <v>42500</v>
      </c>
      <c r="J3">
        <f t="shared" ref="J3:J16" si="1">LOG10(I3)</f>
        <v>4.6283889300503116</v>
      </c>
    </row>
    <row r="4" spans="1:10" x14ac:dyDescent="0.2">
      <c r="A4">
        <v>0</v>
      </c>
      <c r="B4" t="s">
        <v>10</v>
      </c>
      <c r="C4" t="s">
        <v>10</v>
      </c>
      <c r="D4">
        <v>0</v>
      </c>
      <c r="E4">
        <v>0</v>
      </c>
      <c r="F4">
        <v>0</v>
      </c>
      <c r="G4">
        <v>4</v>
      </c>
      <c r="H4">
        <v>15</v>
      </c>
      <c r="I4" s="1">
        <f t="shared" si="0"/>
        <v>37500</v>
      </c>
      <c r="J4">
        <f t="shared" si="1"/>
        <v>4.5740312677277188</v>
      </c>
    </row>
    <row r="5" spans="1:10" x14ac:dyDescent="0.2">
      <c r="A5">
        <v>1</v>
      </c>
      <c r="B5" t="s">
        <v>14</v>
      </c>
      <c r="C5" t="s">
        <v>15</v>
      </c>
      <c r="D5">
        <v>1</v>
      </c>
      <c r="E5">
        <v>1</v>
      </c>
      <c r="F5">
        <v>0</v>
      </c>
      <c r="G5">
        <v>4</v>
      </c>
      <c r="H5">
        <v>6</v>
      </c>
      <c r="I5" s="1">
        <f t="shared" si="0"/>
        <v>15000</v>
      </c>
      <c r="J5">
        <f t="shared" si="1"/>
        <v>4.1760912590556813</v>
      </c>
    </row>
    <row r="6" spans="1:10" x14ac:dyDescent="0.2">
      <c r="A6">
        <v>2</v>
      </c>
      <c r="B6" t="s">
        <v>14</v>
      </c>
      <c r="C6" t="s">
        <v>18</v>
      </c>
      <c r="D6">
        <v>1</v>
      </c>
      <c r="E6">
        <v>1</v>
      </c>
      <c r="F6">
        <v>0</v>
      </c>
      <c r="G6">
        <v>4</v>
      </c>
      <c r="H6">
        <v>7</v>
      </c>
      <c r="I6" s="1">
        <f t="shared" si="0"/>
        <v>17500</v>
      </c>
      <c r="J6">
        <f t="shared" si="1"/>
        <v>4.2430380486862944</v>
      </c>
    </row>
    <row r="7" spans="1:10" x14ac:dyDescent="0.2">
      <c r="A7">
        <v>3</v>
      </c>
      <c r="B7" t="s">
        <v>14</v>
      </c>
      <c r="C7" t="s">
        <v>21</v>
      </c>
      <c r="D7">
        <v>1</v>
      </c>
      <c r="E7">
        <v>1</v>
      </c>
      <c r="F7">
        <v>0</v>
      </c>
      <c r="G7">
        <v>4</v>
      </c>
      <c r="H7">
        <v>13</v>
      </c>
      <c r="I7" s="1">
        <f t="shared" si="0"/>
        <v>32500</v>
      </c>
      <c r="J7">
        <f t="shared" si="1"/>
        <v>4.5118833609788744</v>
      </c>
    </row>
    <row r="8" spans="1:10" x14ac:dyDescent="0.2">
      <c r="A8">
        <v>4</v>
      </c>
      <c r="B8" t="s">
        <v>14</v>
      </c>
      <c r="C8" t="s">
        <v>24</v>
      </c>
      <c r="D8">
        <v>1</v>
      </c>
      <c r="E8">
        <v>1</v>
      </c>
      <c r="F8">
        <v>0</v>
      </c>
      <c r="G8">
        <v>4</v>
      </c>
      <c r="H8">
        <v>7</v>
      </c>
      <c r="I8" s="1">
        <f t="shared" si="0"/>
        <v>17500</v>
      </c>
      <c r="J8">
        <f t="shared" si="1"/>
        <v>4.2430380486862944</v>
      </c>
    </row>
    <row r="9" spans="1:10" x14ac:dyDescent="0.2">
      <c r="A9">
        <v>5</v>
      </c>
      <c r="B9" t="s">
        <v>12</v>
      </c>
      <c r="C9" t="s">
        <v>13</v>
      </c>
      <c r="D9">
        <v>1</v>
      </c>
      <c r="E9">
        <v>1</v>
      </c>
      <c r="F9">
        <v>0</v>
      </c>
      <c r="G9">
        <v>4</v>
      </c>
      <c r="H9">
        <v>11</v>
      </c>
      <c r="I9" s="1">
        <f t="shared" si="0"/>
        <v>27500</v>
      </c>
      <c r="J9">
        <f t="shared" si="1"/>
        <v>4.4393326938302629</v>
      </c>
    </row>
    <row r="10" spans="1:10" x14ac:dyDescent="0.2">
      <c r="A10">
        <v>6</v>
      </c>
      <c r="B10" t="s">
        <v>12</v>
      </c>
      <c r="C10" t="s">
        <v>17</v>
      </c>
      <c r="D10">
        <v>1</v>
      </c>
      <c r="E10">
        <v>1</v>
      </c>
      <c r="F10">
        <v>0</v>
      </c>
      <c r="G10">
        <v>4</v>
      </c>
      <c r="H10">
        <v>9</v>
      </c>
      <c r="I10" s="1">
        <f t="shared" si="0"/>
        <v>22500</v>
      </c>
      <c r="J10">
        <f t="shared" si="1"/>
        <v>4.3521825181113627</v>
      </c>
    </row>
    <row r="11" spans="1:10" x14ac:dyDescent="0.2">
      <c r="A11">
        <v>7</v>
      </c>
      <c r="B11" t="s">
        <v>12</v>
      </c>
      <c r="C11" t="s">
        <v>20</v>
      </c>
      <c r="D11">
        <v>1</v>
      </c>
      <c r="E11">
        <v>1</v>
      </c>
      <c r="F11">
        <v>0</v>
      </c>
      <c r="G11">
        <v>4</v>
      </c>
      <c r="H11">
        <v>15</v>
      </c>
      <c r="I11" s="1">
        <f t="shared" si="0"/>
        <v>37500</v>
      </c>
      <c r="J11">
        <f t="shared" si="1"/>
        <v>4.5740312677277188</v>
      </c>
    </row>
    <row r="12" spans="1:10" x14ac:dyDescent="0.2">
      <c r="A12">
        <v>8</v>
      </c>
      <c r="B12" t="s">
        <v>12</v>
      </c>
      <c r="C12" t="s">
        <v>23</v>
      </c>
      <c r="D12">
        <v>1</v>
      </c>
      <c r="E12">
        <v>1</v>
      </c>
      <c r="F12">
        <v>0</v>
      </c>
      <c r="G12">
        <v>4</v>
      </c>
      <c r="H12">
        <v>14</v>
      </c>
      <c r="I12" s="1">
        <f t="shared" si="0"/>
        <v>35000</v>
      </c>
      <c r="J12">
        <f t="shared" si="1"/>
        <v>4.5440680443502757</v>
      </c>
    </row>
    <row r="13" spans="1:10" x14ac:dyDescent="0.2">
      <c r="A13">
        <v>9</v>
      </c>
      <c r="B13" t="s">
        <v>10</v>
      </c>
      <c r="C13" t="s">
        <v>11</v>
      </c>
      <c r="D13">
        <v>1</v>
      </c>
      <c r="E13">
        <v>1</v>
      </c>
      <c r="F13">
        <v>0</v>
      </c>
      <c r="G13">
        <v>4</v>
      </c>
      <c r="H13">
        <v>8</v>
      </c>
      <c r="I13" s="1">
        <f t="shared" si="0"/>
        <v>20000</v>
      </c>
      <c r="J13">
        <f t="shared" si="1"/>
        <v>4.3010299956639813</v>
      </c>
    </row>
    <row r="14" spans="1:10" x14ac:dyDescent="0.2">
      <c r="A14">
        <v>10</v>
      </c>
      <c r="B14" t="s">
        <v>10</v>
      </c>
      <c r="C14" t="s">
        <v>16</v>
      </c>
      <c r="D14">
        <v>1</v>
      </c>
      <c r="E14">
        <v>1</v>
      </c>
      <c r="F14">
        <v>0</v>
      </c>
      <c r="G14">
        <v>4</v>
      </c>
      <c r="H14">
        <v>14</v>
      </c>
      <c r="I14" s="1">
        <f t="shared" si="0"/>
        <v>35000</v>
      </c>
      <c r="J14">
        <f t="shared" si="1"/>
        <v>4.5440680443502757</v>
      </c>
    </row>
    <row r="15" spans="1:10" x14ac:dyDescent="0.2">
      <c r="A15">
        <v>11</v>
      </c>
      <c r="B15" t="s">
        <v>10</v>
      </c>
      <c r="C15" t="s">
        <v>19</v>
      </c>
      <c r="D15">
        <v>1</v>
      </c>
      <c r="E15">
        <v>1</v>
      </c>
      <c r="F15">
        <v>0</v>
      </c>
      <c r="G15">
        <v>4</v>
      </c>
      <c r="H15">
        <v>8</v>
      </c>
      <c r="I15" s="1">
        <f t="shared" si="0"/>
        <v>20000</v>
      </c>
      <c r="J15">
        <f t="shared" si="1"/>
        <v>4.3010299956639813</v>
      </c>
    </row>
    <row r="16" spans="1:10" x14ac:dyDescent="0.2">
      <c r="A16">
        <v>12</v>
      </c>
      <c r="B16" t="s">
        <v>10</v>
      </c>
      <c r="C16" t="s">
        <v>22</v>
      </c>
      <c r="D16">
        <v>1</v>
      </c>
      <c r="E16">
        <v>1</v>
      </c>
      <c r="F16">
        <v>0</v>
      </c>
      <c r="G16">
        <v>4</v>
      </c>
      <c r="H16">
        <v>4</v>
      </c>
      <c r="I16" s="1">
        <f t="shared" si="0"/>
        <v>10000</v>
      </c>
      <c r="J16">
        <f t="shared" si="1"/>
        <v>4</v>
      </c>
    </row>
    <row r="17" spans="1:5" x14ac:dyDescent="0.2">
      <c r="A17">
        <v>1</v>
      </c>
      <c r="B17" t="s">
        <v>14</v>
      </c>
      <c r="C17" t="s">
        <v>15</v>
      </c>
      <c r="D17">
        <v>2</v>
      </c>
      <c r="E17">
        <v>3</v>
      </c>
    </row>
    <row r="18" spans="1:5" x14ac:dyDescent="0.2">
      <c r="A18">
        <v>2</v>
      </c>
      <c r="B18" t="s">
        <v>14</v>
      </c>
      <c r="C18" t="s">
        <v>18</v>
      </c>
      <c r="D18">
        <v>2</v>
      </c>
      <c r="E18">
        <v>3</v>
      </c>
    </row>
    <row r="19" spans="1:5" x14ac:dyDescent="0.2">
      <c r="A19">
        <v>3</v>
      </c>
      <c r="B19" t="s">
        <v>14</v>
      </c>
      <c r="C19" t="s">
        <v>21</v>
      </c>
      <c r="D19">
        <v>2</v>
      </c>
      <c r="E19">
        <v>3</v>
      </c>
    </row>
    <row r="20" spans="1:5" x14ac:dyDescent="0.2">
      <c r="A20">
        <v>4</v>
      </c>
      <c r="B20" t="s">
        <v>14</v>
      </c>
      <c r="C20" t="s">
        <v>24</v>
      </c>
      <c r="D20">
        <v>2</v>
      </c>
      <c r="E20">
        <v>3</v>
      </c>
    </row>
    <row r="21" spans="1:5" x14ac:dyDescent="0.2">
      <c r="A21">
        <v>5</v>
      </c>
      <c r="B21" t="s">
        <v>12</v>
      </c>
      <c r="C21" t="s">
        <v>13</v>
      </c>
      <c r="D21">
        <v>2</v>
      </c>
      <c r="E21">
        <v>3</v>
      </c>
    </row>
    <row r="22" spans="1:5" x14ac:dyDescent="0.2">
      <c r="A22">
        <v>6</v>
      </c>
      <c r="B22" t="s">
        <v>12</v>
      </c>
      <c r="C22" t="s">
        <v>17</v>
      </c>
      <c r="D22">
        <v>2</v>
      </c>
      <c r="E22">
        <v>3</v>
      </c>
    </row>
    <row r="23" spans="1:5" x14ac:dyDescent="0.2">
      <c r="A23">
        <v>7</v>
      </c>
      <c r="B23" t="s">
        <v>12</v>
      </c>
      <c r="C23" t="s">
        <v>20</v>
      </c>
      <c r="D23">
        <v>2</v>
      </c>
      <c r="E23">
        <v>3</v>
      </c>
    </row>
    <row r="24" spans="1:5" x14ac:dyDescent="0.2">
      <c r="A24">
        <v>8</v>
      </c>
      <c r="B24" t="s">
        <v>12</v>
      </c>
      <c r="C24" t="s">
        <v>23</v>
      </c>
      <c r="D24">
        <v>2</v>
      </c>
      <c r="E24">
        <v>3</v>
      </c>
    </row>
    <row r="25" spans="1:5" x14ac:dyDescent="0.2">
      <c r="A25">
        <v>9</v>
      </c>
      <c r="B25" t="s">
        <v>10</v>
      </c>
      <c r="C25" t="s">
        <v>11</v>
      </c>
      <c r="D25">
        <v>2</v>
      </c>
      <c r="E25">
        <v>3</v>
      </c>
    </row>
    <row r="26" spans="1:5" x14ac:dyDescent="0.2">
      <c r="A26">
        <v>10</v>
      </c>
      <c r="B26" t="s">
        <v>10</v>
      </c>
      <c r="C26" t="s">
        <v>16</v>
      </c>
      <c r="D26">
        <v>2</v>
      </c>
      <c r="E26">
        <v>3</v>
      </c>
    </row>
    <row r="27" spans="1:5" x14ac:dyDescent="0.2">
      <c r="A27">
        <v>11</v>
      </c>
      <c r="B27" t="s">
        <v>10</v>
      </c>
      <c r="C27" t="s">
        <v>19</v>
      </c>
      <c r="D27">
        <v>2</v>
      </c>
      <c r="E27">
        <v>3</v>
      </c>
    </row>
    <row r="28" spans="1:5" x14ac:dyDescent="0.2">
      <c r="A28">
        <v>12</v>
      </c>
      <c r="B28" t="s">
        <v>10</v>
      </c>
      <c r="C28" t="s">
        <v>22</v>
      </c>
      <c r="D28">
        <v>2</v>
      </c>
      <c r="E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46C3-E2FD-704C-88A2-8FD7E6E07021}">
  <dimension ref="A1:J28"/>
  <sheetViews>
    <sheetView tabSelected="1" workbookViewId="0">
      <selection activeCell="H17" sqref="H1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2">
      <c r="A2">
        <v>0</v>
      </c>
      <c r="B2" t="s">
        <v>14</v>
      </c>
      <c r="C2" t="s">
        <v>14</v>
      </c>
      <c r="D2">
        <v>0</v>
      </c>
      <c r="E2">
        <v>0</v>
      </c>
      <c r="F2">
        <v>0</v>
      </c>
      <c r="G2">
        <v>4</v>
      </c>
      <c r="H2">
        <v>15</v>
      </c>
      <c r="I2" s="1">
        <f>(H2*10000)/(1*4)</f>
        <v>37500</v>
      </c>
      <c r="J2">
        <f>LOG10(I2)</f>
        <v>4.5740312677277188</v>
      </c>
    </row>
    <row r="3" spans="1:10" x14ac:dyDescent="0.2">
      <c r="A3">
        <v>0</v>
      </c>
      <c r="B3" t="s">
        <v>12</v>
      </c>
      <c r="C3" t="s">
        <v>12</v>
      </c>
      <c r="D3">
        <v>0</v>
      </c>
      <c r="E3">
        <v>0</v>
      </c>
      <c r="F3">
        <v>0</v>
      </c>
      <c r="G3">
        <v>4</v>
      </c>
      <c r="H3">
        <v>17</v>
      </c>
      <c r="I3" s="1">
        <f t="shared" ref="I3:I16" si="0">(H3*10000)/(1*4)</f>
        <v>42500</v>
      </c>
      <c r="J3">
        <f t="shared" ref="J3:J16" si="1">LOG10(I3)</f>
        <v>4.6283889300503116</v>
      </c>
    </row>
    <row r="4" spans="1:10" x14ac:dyDescent="0.2">
      <c r="A4">
        <v>0</v>
      </c>
      <c r="B4" t="s">
        <v>10</v>
      </c>
      <c r="C4" t="s">
        <v>10</v>
      </c>
      <c r="D4">
        <v>0</v>
      </c>
      <c r="E4">
        <v>0</v>
      </c>
      <c r="F4">
        <v>0</v>
      </c>
      <c r="G4">
        <v>4</v>
      </c>
      <c r="H4">
        <v>15</v>
      </c>
      <c r="I4" s="1">
        <f t="shared" si="0"/>
        <v>37500</v>
      </c>
      <c r="J4">
        <f t="shared" si="1"/>
        <v>4.5740312677277188</v>
      </c>
    </row>
    <row r="5" spans="1:10" x14ac:dyDescent="0.2">
      <c r="A5">
        <v>13</v>
      </c>
      <c r="B5" t="s">
        <v>14</v>
      </c>
      <c r="C5" t="s">
        <v>15</v>
      </c>
      <c r="D5">
        <v>1</v>
      </c>
      <c r="E5">
        <v>1</v>
      </c>
      <c r="F5">
        <v>0</v>
      </c>
      <c r="G5">
        <v>4</v>
      </c>
      <c r="H5">
        <v>14</v>
      </c>
      <c r="I5" s="1">
        <f t="shared" si="0"/>
        <v>35000</v>
      </c>
      <c r="J5">
        <f t="shared" si="1"/>
        <v>4.5440680443502757</v>
      </c>
    </row>
    <row r="6" spans="1:10" x14ac:dyDescent="0.2">
      <c r="A6">
        <v>14</v>
      </c>
      <c r="B6" t="s">
        <v>14</v>
      </c>
      <c r="C6" t="s">
        <v>18</v>
      </c>
      <c r="D6">
        <v>1</v>
      </c>
      <c r="E6">
        <v>1</v>
      </c>
      <c r="F6">
        <v>0</v>
      </c>
      <c r="G6">
        <v>4</v>
      </c>
      <c r="H6">
        <v>32</v>
      </c>
      <c r="I6" s="1">
        <f t="shared" si="0"/>
        <v>80000</v>
      </c>
      <c r="J6">
        <f t="shared" si="1"/>
        <v>4.9030899869919438</v>
      </c>
    </row>
    <row r="7" spans="1:10" x14ac:dyDescent="0.2">
      <c r="A7">
        <v>15</v>
      </c>
      <c r="B7" t="s">
        <v>14</v>
      </c>
      <c r="C7" t="s">
        <v>21</v>
      </c>
      <c r="D7">
        <v>1</v>
      </c>
      <c r="E7">
        <v>1</v>
      </c>
      <c r="F7">
        <v>0</v>
      </c>
      <c r="G7">
        <v>4</v>
      </c>
      <c r="H7">
        <v>28</v>
      </c>
      <c r="I7" s="1">
        <f t="shared" si="0"/>
        <v>70000</v>
      </c>
      <c r="J7">
        <f t="shared" si="1"/>
        <v>4.8450980400142569</v>
      </c>
    </row>
    <row r="8" spans="1:10" x14ac:dyDescent="0.2">
      <c r="A8">
        <v>16</v>
      </c>
      <c r="B8" t="s">
        <v>14</v>
      </c>
      <c r="C8" t="s">
        <v>24</v>
      </c>
      <c r="D8">
        <v>1</v>
      </c>
      <c r="E8">
        <v>1</v>
      </c>
      <c r="F8">
        <v>0</v>
      </c>
      <c r="G8">
        <v>4</v>
      </c>
      <c r="H8">
        <v>25</v>
      </c>
      <c r="I8" s="1">
        <f t="shared" si="0"/>
        <v>62500</v>
      </c>
      <c r="J8">
        <f t="shared" si="1"/>
        <v>4.795880017344075</v>
      </c>
    </row>
    <row r="9" spans="1:10" x14ac:dyDescent="0.2">
      <c r="A9">
        <v>17</v>
      </c>
      <c r="B9" t="s">
        <v>12</v>
      </c>
      <c r="C9" t="s">
        <v>13</v>
      </c>
      <c r="D9">
        <v>1</v>
      </c>
      <c r="E9">
        <v>1</v>
      </c>
      <c r="F9">
        <v>0</v>
      </c>
      <c r="G9">
        <v>4</v>
      </c>
      <c r="H9">
        <v>20</v>
      </c>
      <c r="I9" s="1">
        <f t="shared" si="0"/>
        <v>50000</v>
      </c>
      <c r="J9">
        <f t="shared" si="1"/>
        <v>4.6989700043360187</v>
      </c>
    </row>
    <row r="10" spans="1:10" x14ac:dyDescent="0.2">
      <c r="A10">
        <v>18</v>
      </c>
      <c r="B10" t="s">
        <v>12</v>
      </c>
      <c r="C10" t="s">
        <v>17</v>
      </c>
      <c r="D10">
        <v>1</v>
      </c>
      <c r="E10">
        <v>1</v>
      </c>
      <c r="F10">
        <v>0</v>
      </c>
      <c r="G10">
        <v>4</v>
      </c>
      <c r="H10">
        <v>14</v>
      </c>
      <c r="I10" s="1">
        <f t="shared" si="0"/>
        <v>35000</v>
      </c>
      <c r="J10">
        <f t="shared" si="1"/>
        <v>4.5440680443502757</v>
      </c>
    </row>
    <row r="11" spans="1:10" x14ac:dyDescent="0.2">
      <c r="A11">
        <v>19</v>
      </c>
      <c r="B11" t="s">
        <v>12</v>
      </c>
      <c r="C11" t="s">
        <v>20</v>
      </c>
      <c r="D11">
        <v>1</v>
      </c>
      <c r="E11">
        <v>1</v>
      </c>
      <c r="F11">
        <v>0</v>
      </c>
      <c r="G11">
        <v>4</v>
      </c>
      <c r="H11">
        <v>24</v>
      </c>
      <c r="I11" s="1">
        <f t="shared" si="0"/>
        <v>60000</v>
      </c>
      <c r="J11">
        <f t="shared" si="1"/>
        <v>4.7781512503836439</v>
      </c>
    </row>
    <row r="12" spans="1:10" x14ac:dyDescent="0.2">
      <c r="A12">
        <v>20</v>
      </c>
      <c r="B12" t="s">
        <v>12</v>
      </c>
      <c r="C12" t="s">
        <v>23</v>
      </c>
      <c r="D12">
        <v>1</v>
      </c>
      <c r="E12">
        <v>1</v>
      </c>
      <c r="F12">
        <v>0</v>
      </c>
      <c r="G12">
        <v>4</v>
      </c>
      <c r="H12">
        <v>18</v>
      </c>
      <c r="I12" s="1">
        <f t="shared" si="0"/>
        <v>45000</v>
      </c>
      <c r="J12">
        <f t="shared" si="1"/>
        <v>4.653212513775344</v>
      </c>
    </row>
    <row r="13" spans="1:10" x14ac:dyDescent="0.2">
      <c r="A13">
        <v>21</v>
      </c>
      <c r="B13" t="s">
        <v>10</v>
      </c>
      <c r="C13" t="s">
        <v>11</v>
      </c>
      <c r="D13">
        <v>1</v>
      </c>
      <c r="E13">
        <v>1</v>
      </c>
      <c r="F13">
        <v>0</v>
      </c>
      <c r="G13">
        <v>4</v>
      </c>
      <c r="H13">
        <v>9</v>
      </c>
      <c r="I13" s="1">
        <f t="shared" si="0"/>
        <v>22500</v>
      </c>
      <c r="J13">
        <f t="shared" si="1"/>
        <v>4.3521825181113627</v>
      </c>
    </row>
    <row r="14" spans="1:10" x14ac:dyDescent="0.2">
      <c r="A14">
        <v>22</v>
      </c>
      <c r="B14" t="s">
        <v>10</v>
      </c>
      <c r="C14" t="s">
        <v>16</v>
      </c>
      <c r="D14">
        <v>1</v>
      </c>
      <c r="E14">
        <v>1</v>
      </c>
      <c r="F14">
        <v>0</v>
      </c>
      <c r="G14">
        <v>4</v>
      </c>
      <c r="H14">
        <v>16</v>
      </c>
      <c r="I14" s="1">
        <f t="shared" si="0"/>
        <v>40000</v>
      </c>
      <c r="J14">
        <f t="shared" si="1"/>
        <v>4.6020599913279625</v>
      </c>
    </row>
    <row r="15" spans="1:10" x14ac:dyDescent="0.2">
      <c r="A15">
        <v>23</v>
      </c>
      <c r="B15" t="s">
        <v>10</v>
      </c>
      <c r="C15" t="s">
        <v>19</v>
      </c>
      <c r="D15">
        <v>1</v>
      </c>
      <c r="E15">
        <v>1</v>
      </c>
      <c r="F15">
        <v>0</v>
      </c>
      <c r="G15">
        <v>4</v>
      </c>
      <c r="H15">
        <v>37</v>
      </c>
      <c r="I15" s="1">
        <f t="shared" si="0"/>
        <v>92500</v>
      </c>
      <c r="J15">
        <f t="shared" si="1"/>
        <v>4.9661417327390325</v>
      </c>
    </row>
    <row r="16" spans="1:10" x14ac:dyDescent="0.2">
      <c r="A16">
        <v>24</v>
      </c>
      <c r="B16" t="s">
        <v>10</v>
      </c>
      <c r="C16" t="s">
        <v>22</v>
      </c>
      <c r="D16">
        <v>1</v>
      </c>
      <c r="E16">
        <v>1</v>
      </c>
      <c r="F16">
        <v>0</v>
      </c>
      <c r="G16">
        <v>4</v>
      </c>
      <c r="H16">
        <v>26</v>
      </c>
      <c r="I16" s="1">
        <f t="shared" si="0"/>
        <v>65000</v>
      </c>
      <c r="J16">
        <f t="shared" si="1"/>
        <v>4.8129133566428557</v>
      </c>
    </row>
    <row r="17" spans="1:9" x14ac:dyDescent="0.2">
      <c r="A17">
        <v>13</v>
      </c>
      <c r="B17" t="s">
        <v>14</v>
      </c>
      <c r="C17" t="s">
        <v>15</v>
      </c>
      <c r="D17">
        <v>2</v>
      </c>
      <c r="E17">
        <v>3</v>
      </c>
      <c r="I17" s="1"/>
    </row>
    <row r="18" spans="1:9" x14ac:dyDescent="0.2">
      <c r="A18">
        <v>14</v>
      </c>
      <c r="B18" t="s">
        <v>14</v>
      </c>
      <c r="C18" t="s">
        <v>18</v>
      </c>
      <c r="D18">
        <v>2</v>
      </c>
      <c r="E18">
        <v>3</v>
      </c>
      <c r="I18" s="1"/>
    </row>
    <row r="19" spans="1:9" x14ac:dyDescent="0.2">
      <c r="A19">
        <v>15</v>
      </c>
      <c r="B19" t="s">
        <v>14</v>
      </c>
      <c r="C19" t="s">
        <v>21</v>
      </c>
      <c r="D19">
        <v>2</v>
      </c>
      <c r="E19">
        <v>3</v>
      </c>
      <c r="I19" s="1"/>
    </row>
    <row r="20" spans="1:9" x14ac:dyDescent="0.2">
      <c r="A20">
        <v>16</v>
      </c>
      <c r="B20" t="s">
        <v>14</v>
      </c>
      <c r="C20" t="s">
        <v>24</v>
      </c>
      <c r="D20">
        <v>2</v>
      </c>
      <c r="E20">
        <v>3</v>
      </c>
      <c r="I20" s="1"/>
    </row>
    <row r="21" spans="1:9" x14ac:dyDescent="0.2">
      <c r="A21">
        <v>17</v>
      </c>
      <c r="B21" t="s">
        <v>12</v>
      </c>
      <c r="C21" t="s">
        <v>13</v>
      </c>
      <c r="D21">
        <v>2</v>
      </c>
      <c r="E21">
        <v>3</v>
      </c>
      <c r="I21" s="1"/>
    </row>
    <row r="22" spans="1:9" x14ac:dyDescent="0.2">
      <c r="A22">
        <v>18</v>
      </c>
      <c r="B22" t="s">
        <v>12</v>
      </c>
      <c r="C22" t="s">
        <v>17</v>
      </c>
      <c r="D22">
        <v>2</v>
      </c>
      <c r="E22">
        <v>3</v>
      </c>
      <c r="I22" s="1"/>
    </row>
    <row r="23" spans="1:9" x14ac:dyDescent="0.2">
      <c r="A23">
        <v>19</v>
      </c>
      <c r="B23" t="s">
        <v>12</v>
      </c>
      <c r="C23" t="s">
        <v>20</v>
      </c>
      <c r="D23">
        <v>2</v>
      </c>
      <c r="E23">
        <v>3</v>
      </c>
      <c r="I23" s="1"/>
    </row>
    <row r="24" spans="1:9" x14ac:dyDescent="0.2">
      <c r="A24">
        <v>20</v>
      </c>
      <c r="B24" t="s">
        <v>12</v>
      </c>
      <c r="C24" t="s">
        <v>23</v>
      </c>
      <c r="D24">
        <v>2</v>
      </c>
      <c r="E24">
        <v>3</v>
      </c>
      <c r="I24" s="1"/>
    </row>
    <row r="25" spans="1:9" x14ac:dyDescent="0.2">
      <c r="A25">
        <v>21</v>
      </c>
      <c r="B25" t="s">
        <v>10</v>
      </c>
      <c r="C25" t="s">
        <v>11</v>
      </c>
      <c r="D25">
        <v>2</v>
      </c>
      <c r="E25">
        <v>3</v>
      </c>
      <c r="I25" s="1"/>
    </row>
    <row r="26" spans="1:9" x14ac:dyDescent="0.2">
      <c r="A26">
        <v>22</v>
      </c>
      <c r="B26" t="s">
        <v>10</v>
      </c>
      <c r="C26" t="s">
        <v>16</v>
      </c>
      <c r="D26">
        <v>2</v>
      </c>
      <c r="E26">
        <v>3</v>
      </c>
      <c r="I26" s="1"/>
    </row>
    <row r="27" spans="1:9" x14ac:dyDescent="0.2">
      <c r="A27">
        <v>23</v>
      </c>
      <c r="B27" t="s">
        <v>10</v>
      </c>
      <c r="C27" t="s">
        <v>19</v>
      </c>
      <c r="D27">
        <v>2</v>
      </c>
      <c r="E27">
        <v>3</v>
      </c>
      <c r="I27" s="1"/>
    </row>
    <row r="28" spans="1:9" x14ac:dyDescent="0.2">
      <c r="A28">
        <v>24</v>
      </c>
      <c r="B28" t="s">
        <v>10</v>
      </c>
      <c r="C28" t="s">
        <v>22</v>
      </c>
      <c r="D28">
        <v>2</v>
      </c>
      <c r="E28">
        <v>3</v>
      </c>
      <c r="I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NH4+</vt:lpstr>
      <vt:lpstr>F2</vt:lpstr>
      <vt:lpstr>'NH4+'!Abundance_Tetraselmis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2022-06-16T15:39:33Z</dcterms:created>
  <dcterms:modified xsi:type="dcterms:W3CDTF">2022-06-16T15:49:25Z</dcterms:modified>
</cp:coreProperties>
</file>