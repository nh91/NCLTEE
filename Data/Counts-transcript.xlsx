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nseh/Desktop/Github/NCLTEE/Data/"/>
    </mc:Choice>
  </mc:AlternateContent>
  <xr:revisionPtr revIDLastSave="0" documentId="13_ncr:20001_{F5037B73-C99F-3C4B-BA29-B8C454A2A71B}" xr6:coauthVersionLast="47" xr6:coauthVersionMax="47" xr10:uidLastSave="{00000000-0000-0000-0000-000000000000}"/>
  <bookViews>
    <workbookView xWindow="1780" yWindow="3040" windowWidth="28040" windowHeight="13260" activeTab="2" xr2:uid="{D7831DFC-5F48-D34B-92FE-B1E3530E0E8B}"/>
  </bookViews>
  <sheets>
    <sheet name="NH4+" sheetId="1" r:id="rId1"/>
    <sheet name="F2" sheetId="2" r:id="rId2"/>
    <sheet name="CFU" sheetId="3" r:id="rId3"/>
  </sheets>
  <definedNames>
    <definedName name="Abundance_Tetraselmis" localSheetId="0">'NH4+'!$A$1:$J$505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8" i="3"/>
  <c r="L9" i="3"/>
  <c r="L14" i="3"/>
  <c r="L15" i="3"/>
  <c r="L16" i="3"/>
  <c r="L17" i="3"/>
  <c r="L18" i="3"/>
  <c r="L19" i="3"/>
  <c r="L20" i="3"/>
  <c r="L21" i="3"/>
  <c r="L2" i="3"/>
  <c r="K15" i="3"/>
  <c r="K16" i="3"/>
  <c r="K17" i="3"/>
  <c r="K18" i="3"/>
  <c r="K19" i="3"/>
  <c r="K20" i="3"/>
  <c r="K21" i="3"/>
  <c r="K14" i="3"/>
  <c r="K3" i="3"/>
  <c r="K4" i="3"/>
  <c r="K5" i="3"/>
  <c r="K6" i="3"/>
  <c r="K7" i="3"/>
  <c r="K8" i="3"/>
  <c r="K9" i="3"/>
  <c r="K2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3" i="3"/>
  <c r="J4" i="3"/>
  <c r="J5" i="3"/>
  <c r="J6" i="3"/>
  <c r="J7" i="3"/>
  <c r="J8" i="3"/>
  <c r="J9" i="3"/>
  <c r="J2" i="3"/>
  <c r="I18" i="2" l="1"/>
  <c r="I19" i="2"/>
  <c r="I20" i="2"/>
  <c r="I21" i="2"/>
  <c r="I22" i="2"/>
  <c r="I23" i="2"/>
  <c r="I24" i="2"/>
  <c r="I25" i="2"/>
  <c r="I26" i="2"/>
  <c r="I27" i="2"/>
  <c r="I28" i="2"/>
  <c r="I17" i="2"/>
  <c r="J17" i="2" s="1"/>
  <c r="J18" i="2"/>
  <c r="J19" i="2"/>
  <c r="J20" i="2"/>
  <c r="J21" i="2"/>
  <c r="J22" i="2"/>
  <c r="J23" i="2"/>
  <c r="J24" i="2"/>
  <c r="J25" i="2"/>
  <c r="J26" i="2"/>
  <c r="J27" i="2"/>
  <c r="J28" i="2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  <c r="J4" i="2"/>
  <c r="I4" i="2"/>
  <c r="J3" i="2"/>
  <c r="I3" i="2"/>
  <c r="J2" i="2"/>
  <c r="I2" i="2"/>
  <c r="J7" i="1"/>
  <c r="J8" i="1"/>
  <c r="J10" i="1"/>
  <c r="J11" i="1"/>
  <c r="J12" i="1"/>
  <c r="J14" i="1"/>
  <c r="J15" i="1"/>
  <c r="J16" i="1"/>
  <c r="I3" i="1"/>
  <c r="J3" i="1" s="1"/>
  <c r="I4" i="1"/>
  <c r="J4" i="1" s="1"/>
  <c r="I5" i="1"/>
  <c r="J5" i="1" s="1"/>
  <c r="I6" i="1"/>
  <c r="J6" i="1" s="1"/>
  <c r="I7" i="1"/>
  <c r="I8" i="1"/>
  <c r="I9" i="1"/>
  <c r="J9" i="1" s="1"/>
  <c r="I10" i="1"/>
  <c r="I11" i="1"/>
  <c r="I12" i="1"/>
  <c r="I13" i="1"/>
  <c r="J13" i="1" s="1"/>
  <c r="I14" i="1"/>
  <c r="I15" i="1"/>
  <c r="I16" i="1"/>
  <c r="I2" i="1"/>
  <c r="J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718ACC0-4EF1-794F-A387-198D10BF46FC}" name="Abundance_Tetraselmis" type="6" refreshedVersion="8" background="1" saveData="1">
    <textPr sourceFile="/Users/nnseh/Desktop/Github/NCLTEE/Data/Abundance_Tetraselmis.csv" thousands="_x0000_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<sst xmlns="http://schemas.openxmlformats.org/spreadsheetml/2006/main" count="237" uniqueCount="32">
  <si>
    <t>id</t>
  </si>
  <si>
    <t>culture</t>
  </si>
  <si>
    <t>biorep</t>
  </si>
  <si>
    <t>time</t>
  </si>
  <si>
    <t>day</t>
  </si>
  <si>
    <t>dilution</t>
  </si>
  <si>
    <t>squares</t>
  </si>
  <si>
    <t>cells</t>
  </si>
  <si>
    <t>cellsml</t>
  </si>
  <si>
    <t>log10</t>
  </si>
  <si>
    <t>c</t>
  </si>
  <si>
    <t>c1</t>
  </si>
  <si>
    <t>d</t>
  </si>
  <si>
    <t>d1</t>
  </si>
  <si>
    <t>p</t>
  </si>
  <si>
    <t>p1</t>
  </si>
  <si>
    <t>c2</t>
  </si>
  <si>
    <t>d2</t>
  </si>
  <si>
    <t>p2</t>
  </si>
  <si>
    <t>c3</t>
  </si>
  <si>
    <t>d3</t>
  </si>
  <si>
    <t>p3</t>
  </si>
  <si>
    <t>c4</t>
  </si>
  <si>
    <t>d4</t>
  </si>
  <si>
    <t>p4</t>
  </si>
  <si>
    <t>CFU</t>
  </si>
  <si>
    <t>count_of</t>
  </si>
  <si>
    <t>Cells_mL</t>
  </si>
  <si>
    <t>caldilution</t>
  </si>
  <si>
    <t>Cells per mL in Culture</t>
  </si>
  <si>
    <t xml:space="preserve">mL added </t>
  </si>
  <si>
    <t>log cells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</si>
</sst>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1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bundance_Tetraselmis" connectionId="1" xr16:uid="{21136621-0ABE-8345-A905-2E435B21136C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7B96F-068A-4D4D-93CB-38A6C5DB8602}">
  <dimension ref="A1:J40"/>
  <sheetViews>
    <sheetView workbookViewId="0">
      <selection activeCell="O5" sqref="O5"/>
    </sheetView>
  </sheetViews>
  <sheetFormatPr baseColWidth="10" defaultRowHeight="16" x14ac:dyDescent="0.2"/>
  <cols>
    <col min="1" max="1" width="6.83203125" bestFit="1" customWidth="1"/>
    <col min="2" max="2" width="6.33203125" bestFit="1" customWidth="1"/>
    <col min="3" max="3" width="7.33203125" bestFit="1" customWidth="1"/>
    <col min="4" max="4" width="5" bestFit="1" customWidth="1"/>
    <col min="5" max="5" width="7.33203125" bestFit="1" customWidth="1"/>
    <col min="6" max="6" width="12.1640625" bestFit="1" customWidth="1"/>
    <col min="7" max="7" width="7.5" bestFit="1" customWidth="1"/>
    <col min="8" max="8" width="7" bestFit="1" customWidth="1"/>
    <col min="9" max="9" width="8.6640625" style="1" bestFit="1" customWidth="1"/>
    <col min="10" max="10" width="1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</row>
    <row r="2" spans="1:10" x14ac:dyDescent="0.2">
      <c r="A2">
        <v>0</v>
      </c>
      <c r="B2" t="s">
        <v>14</v>
      </c>
      <c r="C2" t="s">
        <v>14</v>
      </c>
      <c r="D2">
        <v>0</v>
      </c>
      <c r="E2">
        <v>0</v>
      </c>
      <c r="F2">
        <v>0</v>
      </c>
      <c r="G2">
        <v>4</v>
      </c>
      <c r="H2">
        <v>15</v>
      </c>
      <c r="I2" s="1">
        <f>(H2*10000)/(1*4)</f>
        <v>37500</v>
      </c>
      <c r="J2">
        <f>LOG10(I2)</f>
        <v>4.5740312677277188</v>
      </c>
    </row>
    <row r="3" spans="1:10" x14ac:dyDescent="0.2">
      <c r="A3">
        <v>0</v>
      </c>
      <c r="B3" t="s">
        <v>12</v>
      </c>
      <c r="C3" t="s">
        <v>12</v>
      </c>
      <c r="D3">
        <v>0</v>
      </c>
      <c r="E3">
        <v>0</v>
      </c>
      <c r="F3">
        <v>0</v>
      </c>
      <c r="G3">
        <v>4</v>
      </c>
      <c r="H3">
        <v>17</v>
      </c>
      <c r="I3" s="1">
        <f t="shared" ref="I3:I28" si="0">(H3*10000)/(1*4)</f>
        <v>42500</v>
      </c>
      <c r="J3">
        <f t="shared" ref="J3:J28" si="1">LOG10(I3)</f>
        <v>4.6283889300503116</v>
      </c>
    </row>
    <row r="4" spans="1:10" x14ac:dyDescent="0.2">
      <c r="A4">
        <v>0</v>
      </c>
      <c r="B4" t="s">
        <v>10</v>
      </c>
      <c r="C4" t="s">
        <v>10</v>
      </c>
      <c r="D4">
        <v>0</v>
      </c>
      <c r="E4">
        <v>0</v>
      </c>
      <c r="F4">
        <v>0</v>
      </c>
      <c r="G4">
        <v>4</v>
      </c>
      <c r="H4">
        <v>15</v>
      </c>
      <c r="I4" s="1">
        <f t="shared" si="0"/>
        <v>37500</v>
      </c>
      <c r="J4">
        <f t="shared" si="1"/>
        <v>4.5740312677277188</v>
      </c>
    </row>
    <row r="5" spans="1:10" x14ac:dyDescent="0.2">
      <c r="A5">
        <v>1</v>
      </c>
      <c r="B5" t="s">
        <v>14</v>
      </c>
      <c r="C5" t="s">
        <v>15</v>
      </c>
      <c r="D5">
        <v>1</v>
      </c>
      <c r="E5">
        <v>1</v>
      </c>
      <c r="F5">
        <v>0</v>
      </c>
      <c r="G5">
        <v>4</v>
      </c>
      <c r="H5">
        <v>6</v>
      </c>
      <c r="I5" s="1">
        <f t="shared" si="0"/>
        <v>15000</v>
      </c>
      <c r="J5">
        <f t="shared" si="1"/>
        <v>4.1760912590556813</v>
      </c>
    </row>
    <row r="6" spans="1:10" x14ac:dyDescent="0.2">
      <c r="A6">
        <v>2</v>
      </c>
      <c r="B6" t="s">
        <v>14</v>
      </c>
      <c r="C6" t="s">
        <v>18</v>
      </c>
      <c r="D6">
        <v>1</v>
      </c>
      <c r="E6">
        <v>1</v>
      </c>
      <c r="F6">
        <v>0</v>
      </c>
      <c r="G6">
        <v>4</v>
      </c>
      <c r="H6">
        <v>7</v>
      </c>
      <c r="I6" s="1">
        <f t="shared" si="0"/>
        <v>17500</v>
      </c>
      <c r="J6">
        <f t="shared" si="1"/>
        <v>4.2430380486862944</v>
      </c>
    </row>
    <row r="7" spans="1:10" x14ac:dyDescent="0.2">
      <c r="A7">
        <v>3</v>
      </c>
      <c r="B7" t="s">
        <v>14</v>
      </c>
      <c r="C7" t="s">
        <v>21</v>
      </c>
      <c r="D7">
        <v>1</v>
      </c>
      <c r="E7">
        <v>1</v>
      </c>
      <c r="F7">
        <v>0</v>
      </c>
      <c r="G7">
        <v>4</v>
      </c>
      <c r="H7">
        <v>13</v>
      </c>
      <c r="I7" s="1">
        <f t="shared" si="0"/>
        <v>32500</v>
      </c>
      <c r="J7">
        <f t="shared" si="1"/>
        <v>4.5118833609788744</v>
      </c>
    </row>
    <row r="8" spans="1:10" x14ac:dyDescent="0.2">
      <c r="A8">
        <v>4</v>
      </c>
      <c r="B8" t="s">
        <v>14</v>
      </c>
      <c r="C8" t="s">
        <v>24</v>
      </c>
      <c r="D8">
        <v>1</v>
      </c>
      <c r="E8">
        <v>1</v>
      </c>
      <c r="F8">
        <v>0</v>
      </c>
      <c r="G8">
        <v>4</v>
      </c>
      <c r="H8">
        <v>7</v>
      </c>
      <c r="I8" s="1">
        <f t="shared" si="0"/>
        <v>17500</v>
      </c>
      <c r="J8">
        <f t="shared" si="1"/>
        <v>4.2430380486862944</v>
      </c>
    </row>
    <row r="9" spans="1:10" x14ac:dyDescent="0.2">
      <c r="A9">
        <v>5</v>
      </c>
      <c r="B9" t="s">
        <v>12</v>
      </c>
      <c r="C9" t="s">
        <v>13</v>
      </c>
      <c r="D9">
        <v>1</v>
      </c>
      <c r="E9">
        <v>1</v>
      </c>
      <c r="F9">
        <v>0</v>
      </c>
      <c r="G9">
        <v>4</v>
      </c>
      <c r="H9">
        <v>11</v>
      </c>
      <c r="I9" s="1">
        <f t="shared" si="0"/>
        <v>27500</v>
      </c>
      <c r="J9">
        <f t="shared" si="1"/>
        <v>4.4393326938302629</v>
      </c>
    </row>
    <row r="10" spans="1:10" x14ac:dyDescent="0.2">
      <c r="A10">
        <v>6</v>
      </c>
      <c r="B10" t="s">
        <v>12</v>
      </c>
      <c r="C10" t="s">
        <v>17</v>
      </c>
      <c r="D10">
        <v>1</v>
      </c>
      <c r="E10">
        <v>1</v>
      </c>
      <c r="F10">
        <v>0</v>
      </c>
      <c r="G10">
        <v>4</v>
      </c>
      <c r="H10">
        <v>9</v>
      </c>
      <c r="I10" s="1">
        <f t="shared" si="0"/>
        <v>22500</v>
      </c>
      <c r="J10">
        <f t="shared" si="1"/>
        <v>4.3521825181113627</v>
      </c>
    </row>
    <row r="11" spans="1:10" x14ac:dyDescent="0.2">
      <c r="A11">
        <v>7</v>
      </c>
      <c r="B11" t="s">
        <v>12</v>
      </c>
      <c r="C11" t="s">
        <v>20</v>
      </c>
      <c r="D11">
        <v>1</v>
      </c>
      <c r="E11">
        <v>1</v>
      </c>
      <c r="F11">
        <v>0</v>
      </c>
      <c r="G11">
        <v>4</v>
      </c>
      <c r="H11">
        <v>15</v>
      </c>
      <c r="I11" s="1">
        <f t="shared" si="0"/>
        <v>37500</v>
      </c>
      <c r="J11">
        <f t="shared" si="1"/>
        <v>4.5740312677277188</v>
      </c>
    </row>
    <row r="12" spans="1:10" x14ac:dyDescent="0.2">
      <c r="A12">
        <v>8</v>
      </c>
      <c r="B12" t="s">
        <v>12</v>
      </c>
      <c r="C12" t="s">
        <v>23</v>
      </c>
      <c r="D12">
        <v>1</v>
      </c>
      <c r="E12">
        <v>1</v>
      </c>
      <c r="F12">
        <v>0</v>
      </c>
      <c r="G12">
        <v>4</v>
      </c>
      <c r="H12">
        <v>14</v>
      </c>
      <c r="I12" s="1">
        <f t="shared" si="0"/>
        <v>35000</v>
      </c>
      <c r="J12">
        <f t="shared" si="1"/>
        <v>4.5440680443502757</v>
      </c>
    </row>
    <row r="13" spans="1:10" x14ac:dyDescent="0.2">
      <c r="A13">
        <v>9</v>
      </c>
      <c r="B13" t="s">
        <v>10</v>
      </c>
      <c r="C13" t="s">
        <v>11</v>
      </c>
      <c r="D13">
        <v>1</v>
      </c>
      <c r="E13">
        <v>1</v>
      </c>
      <c r="F13">
        <v>0</v>
      </c>
      <c r="G13">
        <v>4</v>
      </c>
      <c r="H13">
        <v>8</v>
      </c>
      <c r="I13" s="1">
        <f t="shared" si="0"/>
        <v>20000</v>
      </c>
      <c r="J13">
        <f t="shared" si="1"/>
        <v>4.3010299956639813</v>
      </c>
    </row>
    <row r="14" spans="1:10" x14ac:dyDescent="0.2">
      <c r="A14">
        <v>10</v>
      </c>
      <c r="B14" t="s">
        <v>10</v>
      </c>
      <c r="C14" t="s">
        <v>16</v>
      </c>
      <c r="D14">
        <v>1</v>
      </c>
      <c r="E14">
        <v>1</v>
      </c>
      <c r="F14">
        <v>0</v>
      </c>
      <c r="G14">
        <v>4</v>
      </c>
      <c r="H14">
        <v>14</v>
      </c>
      <c r="I14" s="1">
        <f t="shared" si="0"/>
        <v>35000</v>
      </c>
      <c r="J14">
        <f t="shared" si="1"/>
        <v>4.5440680443502757</v>
      </c>
    </row>
    <row r="15" spans="1:10" x14ac:dyDescent="0.2">
      <c r="A15">
        <v>11</v>
      </c>
      <c r="B15" t="s">
        <v>10</v>
      </c>
      <c r="C15" t="s">
        <v>19</v>
      </c>
      <c r="D15">
        <v>1</v>
      </c>
      <c r="E15">
        <v>1</v>
      </c>
      <c r="F15">
        <v>0</v>
      </c>
      <c r="G15">
        <v>4</v>
      </c>
      <c r="H15">
        <v>8</v>
      </c>
      <c r="I15" s="1">
        <f t="shared" si="0"/>
        <v>20000</v>
      </c>
      <c r="J15">
        <f t="shared" si="1"/>
        <v>4.3010299956639813</v>
      </c>
    </row>
    <row r="16" spans="1:10" x14ac:dyDescent="0.2">
      <c r="A16">
        <v>12</v>
      </c>
      <c r="B16" t="s">
        <v>10</v>
      </c>
      <c r="C16" t="s">
        <v>22</v>
      </c>
      <c r="D16">
        <v>1</v>
      </c>
      <c r="E16">
        <v>1</v>
      </c>
      <c r="F16">
        <v>0</v>
      </c>
      <c r="G16">
        <v>4</v>
      </c>
      <c r="H16">
        <v>4</v>
      </c>
      <c r="I16" s="1">
        <f t="shared" si="0"/>
        <v>10000</v>
      </c>
      <c r="J16">
        <f t="shared" si="1"/>
        <v>4</v>
      </c>
    </row>
    <row r="17" spans="1:10" x14ac:dyDescent="0.2">
      <c r="A17">
        <v>1</v>
      </c>
      <c r="B17" t="s">
        <v>14</v>
      </c>
      <c r="C17" t="s">
        <v>15</v>
      </c>
      <c r="D17">
        <v>2</v>
      </c>
      <c r="E17">
        <v>4</v>
      </c>
      <c r="F17">
        <v>0</v>
      </c>
      <c r="G17">
        <v>4</v>
      </c>
      <c r="H17">
        <v>62</v>
      </c>
      <c r="I17" s="1">
        <f t="shared" si="0"/>
        <v>155000</v>
      </c>
      <c r="J17">
        <f t="shared" si="1"/>
        <v>5.1903316981702918</v>
      </c>
    </row>
    <row r="18" spans="1:10" x14ac:dyDescent="0.2">
      <c r="A18">
        <v>2</v>
      </c>
      <c r="B18" t="s">
        <v>14</v>
      </c>
      <c r="C18" t="s">
        <v>18</v>
      </c>
      <c r="D18">
        <v>2</v>
      </c>
      <c r="E18">
        <v>4</v>
      </c>
      <c r="F18">
        <v>0</v>
      </c>
      <c r="G18">
        <v>4</v>
      </c>
      <c r="H18">
        <v>70</v>
      </c>
      <c r="I18" s="1">
        <f t="shared" si="0"/>
        <v>175000</v>
      </c>
      <c r="J18">
        <f t="shared" si="1"/>
        <v>5.2430380486862944</v>
      </c>
    </row>
    <row r="19" spans="1:10" x14ac:dyDescent="0.2">
      <c r="A19">
        <v>3</v>
      </c>
      <c r="B19" t="s">
        <v>14</v>
      </c>
      <c r="C19" t="s">
        <v>21</v>
      </c>
      <c r="D19">
        <v>2</v>
      </c>
      <c r="E19">
        <v>4</v>
      </c>
      <c r="F19">
        <v>0</v>
      </c>
      <c r="G19">
        <v>4</v>
      </c>
      <c r="H19">
        <v>63</v>
      </c>
      <c r="I19" s="1">
        <f t="shared" si="0"/>
        <v>157500</v>
      </c>
      <c r="J19">
        <f t="shared" si="1"/>
        <v>5.1972805581256196</v>
      </c>
    </row>
    <row r="20" spans="1:10" x14ac:dyDescent="0.2">
      <c r="A20">
        <v>4</v>
      </c>
      <c r="B20" t="s">
        <v>14</v>
      </c>
      <c r="C20" t="s">
        <v>24</v>
      </c>
      <c r="D20">
        <v>2</v>
      </c>
      <c r="E20">
        <v>4</v>
      </c>
      <c r="F20">
        <v>0</v>
      </c>
      <c r="G20">
        <v>4</v>
      </c>
      <c r="H20">
        <v>61</v>
      </c>
      <c r="I20" s="1">
        <f t="shared" si="0"/>
        <v>152500</v>
      </c>
      <c r="J20">
        <f t="shared" si="1"/>
        <v>5.1832698436828046</v>
      </c>
    </row>
    <row r="21" spans="1:10" x14ac:dyDescent="0.2">
      <c r="A21">
        <v>5</v>
      </c>
      <c r="B21" t="s">
        <v>12</v>
      </c>
      <c r="C21" t="s">
        <v>13</v>
      </c>
      <c r="D21">
        <v>2</v>
      </c>
      <c r="E21">
        <v>4</v>
      </c>
      <c r="F21">
        <v>0</v>
      </c>
      <c r="G21">
        <v>4</v>
      </c>
      <c r="H21">
        <v>43</v>
      </c>
      <c r="I21" s="1">
        <f t="shared" si="0"/>
        <v>107500</v>
      </c>
      <c r="J21">
        <f t="shared" si="1"/>
        <v>5.0314084642516246</v>
      </c>
    </row>
    <row r="22" spans="1:10" x14ac:dyDescent="0.2">
      <c r="A22">
        <v>6</v>
      </c>
      <c r="B22" t="s">
        <v>12</v>
      </c>
      <c r="C22" t="s">
        <v>17</v>
      </c>
      <c r="D22">
        <v>2</v>
      </c>
      <c r="E22">
        <v>4</v>
      </c>
      <c r="F22">
        <v>0</v>
      </c>
      <c r="G22">
        <v>4</v>
      </c>
      <c r="H22">
        <v>48</v>
      </c>
      <c r="I22" s="1">
        <f t="shared" si="0"/>
        <v>120000</v>
      </c>
      <c r="J22">
        <f t="shared" si="1"/>
        <v>5.0791812460476251</v>
      </c>
    </row>
    <row r="23" spans="1:10" x14ac:dyDescent="0.2">
      <c r="A23">
        <v>7</v>
      </c>
      <c r="B23" t="s">
        <v>12</v>
      </c>
      <c r="C23" t="s">
        <v>20</v>
      </c>
      <c r="D23">
        <v>2</v>
      </c>
      <c r="E23">
        <v>4</v>
      </c>
      <c r="F23">
        <v>0</v>
      </c>
      <c r="G23">
        <v>4</v>
      </c>
      <c r="H23">
        <v>83</v>
      </c>
      <c r="I23" s="1">
        <f t="shared" si="0"/>
        <v>207500</v>
      </c>
      <c r="J23">
        <f t="shared" si="1"/>
        <v>5.3170181010481112</v>
      </c>
    </row>
    <row r="24" spans="1:10" x14ac:dyDescent="0.2">
      <c r="A24">
        <v>8</v>
      </c>
      <c r="B24" t="s">
        <v>12</v>
      </c>
      <c r="C24" t="s">
        <v>23</v>
      </c>
      <c r="D24">
        <v>2</v>
      </c>
      <c r="E24">
        <v>4</v>
      </c>
      <c r="F24">
        <v>0</v>
      </c>
      <c r="G24">
        <v>4</v>
      </c>
      <c r="H24">
        <v>88</v>
      </c>
      <c r="I24" s="1">
        <f t="shared" si="0"/>
        <v>220000</v>
      </c>
      <c r="J24">
        <f t="shared" si="1"/>
        <v>5.3424226808222066</v>
      </c>
    </row>
    <row r="25" spans="1:10" x14ac:dyDescent="0.2">
      <c r="A25">
        <v>9</v>
      </c>
      <c r="B25" t="s">
        <v>10</v>
      </c>
      <c r="C25" t="s">
        <v>11</v>
      </c>
      <c r="D25">
        <v>2</v>
      </c>
      <c r="E25">
        <v>4</v>
      </c>
      <c r="F25">
        <v>0</v>
      </c>
      <c r="G25">
        <v>4</v>
      </c>
      <c r="H25">
        <v>74</v>
      </c>
      <c r="I25" s="1">
        <f t="shared" si="0"/>
        <v>185000</v>
      </c>
      <c r="J25">
        <f t="shared" si="1"/>
        <v>5.2671717284030137</v>
      </c>
    </row>
    <row r="26" spans="1:10" x14ac:dyDescent="0.2">
      <c r="A26">
        <v>10</v>
      </c>
      <c r="B26" t="s">
        <v>10</v>
      </c>
      <c r="C26" t="s">
        <v>16</v>
      </c>
      <c r="D26">
        <v>2</v>
      </c>
      <c r="E26">
        <v>4</v>
      </c>
      <c r="F26">
        <v>0</v>
      </c>
      <c r="G26">
        <v>4</v>
      </c>
      <c r="H26">
        <v>42</v>
      </c>
      <c r="I26" s="1">
        <f t="shared" si="0"/>
        <v>105000</v>
      </c>
      <c r="J26">
        <f t="shared" si="1"/>
        <v>5.0211892990699383</v>
      </c>
    </row>
    <row r="27" spans="1:10" x14ac:dyDescent="0.2">
      <c r="A27">
        <v>11</v>
      </c>
      <c r="B27" t="s">
        <v>10</v>
      </c>
      <c r="C27" t="s">
        <v>19</v>
      </c>
      <c r="D27">
        <v>2</v>
      </c>
      <c r="E27">
        <v>4</v>
      </c>
      <c r="F27">
        <v>0</v>
      </c>
      <c r="G27">
        <v>4</v>
      </c>
      <c r="H27">
        <v>77</v>
      </c>
      <c r="I27" s="1">
        <f t="shared" si="0"/>
        <v>192500</v>
      </c>
      <c r="J27">
        <f t="shared" si="1"/>
        <v>5.2844307338445198</v>
      </c>
    </row>
    <row r="28" spans="1:10" x14ac:dyDescent="0.2">
      <c r="A28">
        <v>12</v>
      </c>
      <c r="B28" t="s">
        <v>10</v>
      </c>
      <c r="C28" t="s">
        <v>22</v>
      </c>
      <c r="D28">
        <v>2</v>
      </c>
      <c r="E28">
        <v>4</v>
      </c>
      <c r="F28">
        <v>0</v>
      </c>
      <c r="G28">
        <v>4</v>
      </c>
      <c r="H28">
        <v>44</v>
      </c>
      <c r="I28" s="1">
        <f t="shared" si="0"/>
        <v>110000</v>
      </c>
      <c r="J28">
        <f t="shared" si="1"/>
        <v>5.0413926851582254</v>
      </c>
    </row>
    <row r="29" spans="1:10" x14ac:dyDescent="0.2">
      <c r="A29">
        <v>1</v>
      </c>
      <c r="B29" t="s">
        <v>14</v>
      </c>
      <c r="C29" t="s">
        <v>15</v>
      </c>
      <c r="D29">
        <v>3</v>
      </c>
      <c r="E29">
        <v>7</v>
      </c>
      <c r="G29">
        <v>4</v>
      </c>
    </row>
    <row r="30" spans="1:10" x14ac:dyDescent="0.2">
      <c r="A30">
        <v>2</v>
      </c>
      <c r="B30" t="s">
        <v>14</v>
      </c>
      <c r="C30" t="s">
        <v>18</v>
      </c>
      <c r="D30">
        <v>3</v>
      </c>
      <c r="E30">
        <v>7</v>
      </c>
      <c r="G30">
        <v>4</v>
      </c>
    </row>
    <row r="31" spans="1:10" x14ac:dyDescent="0.2">
      <c r="A31">
        <v>3</v>
      </c>
      <c r="B31" t="s">
        <v>14</v>
      </c>
      <c r="C31" t="s">
        <v>21</v>
      </c>
      <c r="D31">
        <v>3</v>
      </c>
      <c r="E31">
        <v>7</v>
      </c>
      <c r="G31">
        <v>4</v>
      </c>
    </row>
    <row r="32" spans="1:10" x14ac:dyDescent="0.2">
      <c r="A32">
        <v>4</v>
      </c>
      <c r="B32" t="s">
        <v>14</v>
      </c>
      <c r="C32" t="s">
        <v>24</v>
      </c>
      <c r="D32">
        <v>3</v>
      </c>
      <c r="E32">
        <v>7</v>
      </c>
      <c r="G32">
        <v>4</v>
      </c>
    </row>
    <row r="33" spans="1:7" x14ac:dyDescent="0.2">
      <c r="A33">
        <v>5</v>
      </c>
      <c r="B33" t="s">
        <v>12</v>
      </c>
      <c r="C33" t="s">
        <v>13</v>
      </c>
      <c r="D33">
        <v>3</v>
      </c>
      <c r="E33">
        <v>7</v>
      </c>
      <c r="G33">
        <v>4</v>
      </c>
    </row>
    <row r="34" spans="1:7" x14ac:dyDescent="0.2">
      <c r="A34">
        <v>6</v>
      </c>
      <c r="B34" t="s">
        <v>12</v>
      </c>
      <c r="C34" t="s">
        <v>17</v>
      </c>
      <c r="D34">
        <v>3</v>
      </c>
      <c r="E34">
        <v>7</v>
      </c>
      <c r="G34">
        <v>4</v>
      </c>
    </row>
    <row r="35" spans="1:7" x14ac:dyDescent="0.2">
      <c r="A35">
        <v>7</v>
      </c>
      <c r="B35" t="s">
        <v>12</v>
      </c>
      <c r="C35" t="s">
        <v>20</v>
      </c>
      <c r="D35">
        <v>3</v>
      </c>
      <c r="E35">
        <v>7</v>
      </c>
      <c r="G35">
        <v>4</v>
      </c>
    </row>
    <row r="36" spans="1:7" x14ac:dyDescent="0.2">
      <c r="A36">
        <v>8</v>
      </c>
      <c r="B36" t="s">
        <v>12</v>
      </c>
      <c r="C36" t="s">
        <v>23</v>
      </c>
      <c r="D36">
        <v>3</v>
      </c>
      <c r="E36">
        <v>7</v>
      </c>
      <c r="G36">
        <v>4</v>
      </c>
    </row>
    <row r="37" spans="1:7" x14ac:dyDescent="0.2">
      <c r="A37">
        <v>9</v>
      </c>
      <c r="B37" t="s">
        <v>10</v>
      </c>
      <c r="C37" t="s">
        <v>11</v>
      </c>
      <c r="D37">
        <v>3</v>
      </c>
      <c r="E37">
        <v>7</v>
      </c>
      <c r="G37">
        <v>4</v>
      </c>
    </row>
    <row r="38" spans="1:7" x14ac:dyDescent="0.2">
      <c r="A38">
        <v>10</v>
      </c>
      <c r="B38" t="s">
        <v>10</v>
      </c>
      <c r="C38" t="s">
        <v>16</v>
      </c>
      <c r="D38">
        <v>3</v>
      </c>
      <c r="E38">
        <v>7</v>
      </c>
      <c r="G38">
        <v>4</v>
      </c>
    </row>
    <row r="39" spans="1:7" x14ac:dyDescent="0.2">
      <c r="A39">
        <v>11</v>
      </c>
      <c r="B39" t="s">
        <v>10</v>
      </c>
      <c r="C39" t="s">
        <v>19</v>
      </c>
      <c r="D39">
        <v>3</v>
      </c>
      <c r="E39">
        <v>7</v>
      </c>
      <c r="G39">
        <v>4</v>
      </c>
    </row>
    <row r="40" spans="1:7" x14ac:dyDescent="0.2">
      <c r="A40">
        <v>12</v>
      </c>
      <c r="B40" t="s">
        <v>10</v>
      </c>
      <c r="C40" t="s">
        <v>22</v>
      </c>
      <c r="D40">
        <v>3</v>
      </c>
      <c r="E40">
        <v>7</v>
      </c>
      <c r="G40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E46C3-E2FD-704C-88A2-8FD7E6E07021}">
  <dimension ref="A1:J28"/>
  <sheetViews>
    <sheetView workbookViewId="0">
      <selection activeCell="A5" sqref="A5:C16"/>
    </sheetView>
  </sheetViews>
  <sheetFormatPr baseColWidth="10" defaultRowHeight="16" x14ac:dyDescent="0.2"/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</row>
    <row r="2" spans="1:10" x14ac:dyDescent="0.2">
      <c r="A2">
        <v>0</v>
      </c>
      <c r="B2" t="s">
        <v>14</v>
      </c>
      <c r="C2" t="s">
        <v>14</v>
      </c>
      <c r="D2">
        <v>0</v>
      </c>
      <c r="E2">
        <v>0</v>
      </c>
      <c r="F2">
        <v>0</v>
      </c>
      <c r="G2">
        <v>4</v>
      </c>
      <c r="H2">
        <v>15</v>
      </c>
      <c r="I2" s="1">
        <f>(H2*10000)/(1*4)</f>
        <v>37500</v>
      </c>
      <c r="J2">
        <f>LOG10(I2)</f>
        <v>4.5740312677277188</v>
      </c>
    </row>
    <row r="3" spans="1:10" x14ac:dyDescent="0.2">
      <c r="A3">
        <v>0</v>
      </c>
      <c r="B3" t="s">
        <v>12</v>
      </c>
      <c r="C3" t="s">
        <v>12</v>
      </c>
      <c r="D3">
        <v>0</v>
      </c>
      <c r="E3">
        <v>0</v>
      </c>
      <c r="F3">
        <v>0</v>
      </c>
      <c r="G3">
        <v>4</v>
      </c>
      <c r="H3">
        <v>17</v>
      </c>
      <c r="I3" s="1">
        <f t="shared" ref="I3:I28" si="0">(H3*10000)/(1*4)</f>
        <v>42500</v>
      </c>
      <c r="J3">
        <f t="shared" ref="J3:J28" si="1">LOG10(I3)</f>
        <v>4.6283889300503116</v>
      </c>
    </row>
    <row r="4" spans="1:10" x14ac:dyDescent="0.2">
      <c r="A4">
        <v>0</v>
      </c>
      <c r="B4" t="s">
        <v>10</v>
      </c>
      <c r="C4" t="s">
        <v>10</v>
      </c>
      <c r="D4">
        <v>0</v>
      </c>
      <c r="E4">
        <v>0</v>
      </c>
      <c r="F4">
        <v>0</v>
      </c>
      <c r="G4">
        <v>4</v>
      </c>
      <c r="H4">
        <v>15</v>
      </c>
      <c r="I4" s="1">
        <f t="shared" si="0"/>
        <v>37500</v>
      </c>
      <c r="J4">
        <f t="shared" si="1"/>
        <v>4.5740312677277188</v>
      </c>
    </row>
    <row r="5" spans="1:10" x14ac:dyDescent="0.2">
      <c r="A5">
        <v>13</v>
      </c>
      <c r="B5" t="s">
        <v>14</v>
      </c>
      <c r="C5" t="s">
        <v>15</v>
      </c>
      <c r="D5">
        <v>1</v>
      </c>
      <c r="E5">
        <v>1</v>
      </c>
      <c r="F5">
        <v>0</v>
      </c>
      <c r="G5">
        <v>4</v>
      </c>
      <c r="H5">
        <v>14</v>
      </c>
      <c r="I5" s="1">
        <f t="shared" si="0"/>
        <v>35000</v>
      </c>
      <c r="J5">
        <f t="shared" si="1"/>
        <v>4.5440680443502757</v>
      </c>
    </row>
    <row r="6" spans="1:10" x14ac:dyDescent="0.2">
      <c r="A6">
        <v>14</v>
      </c>
      <c r="B6" t="s">
        <v>14</v>
      </c>
      <c r="C6" t="s">
        <v>18</v>
      </c>
      <c r="D6">
        <v>1</v>
      </c>
      <c r="E6">
        <v>1</v>
      </c>
      <c r="F6">
        <v>0</v>
      </c>
      <c r="G6">
        <v>4</v>
      </c>
      <c r="H6">
        <v>32</v>
      </c>
      <c r="I6" s="1">
        <f t="shared" si="0"/>
        <v>80000</v>
      </c>
      <c r="J6">
        <f t="shared" si="1"/>
        <v>4.9030899869919438</v>
      </c>
    </row>
    <row r="7" spans="1:10" x14ac:dyDescent="0.2">
      <c r="A7">
        <v>15</v>
      </c>
      <c r="B7" t="s">
        <v>14</v>
      </c>
      <c r="C7" t="s">
        <v>21</v>
      </c>
      <c r="D7">
        <v>1</v>
      </c>
      <c r="E7">
        <v>1</v>
      </c>
      <c r="F7">
        <v>0</v>
      </c>
      <c r="G7">
        <v>4</v>
      </c>
      <c r="H7">
        <v>28</v>
      </c>
      <c r="I7" s="1">
        <f t="shared" si="0"/>
        <v>70000</v>
      </c>
      <c r="J7">
        <f t="shared" si="1"/>
        <v>4.8450980400142569</v>
      </c>
    </row>
    <row r="8" spans="1:10" x14ac:dyDescent="0.2">
      <c r="A8">
        <v>16</v>
      </c>
      <c r="B8" t="s">
        <v>14</v>
      </c>
      <c r="C8" t="s">
        <v>24</v>
      </c>
      <c r="D8">
        <v>1</v>
      </c>
      <c r="E8">
        <v>1</v>
      </c>
      <c r="F8">
        <v>0</v>
      </c>
      <c r="G8">
        <v>4</v>
      </c>
      <c r="H8">
        <v>25</v>
      </c>
      <c r="I8" s="1">
        <f t="shared" si="0"/>
        <v>62500</v>
      </c>
      <c r="J8">
        <f t="shared" si="1"/>
        <v>4.795880017344075</v>
      </c>
    </row>
    <row r="9" spans="1:10" x14ac:dyDescent="0.2">
      <c r="A9">
        <v>17</v>
      </c>
      <c r="B9" t="s">
        <v>12</v>
      </c>
      <c r="C9" t="s">
        <v>13</v>
      </c>
      <c r="D9">
        <v>1</v>
      </c>
      <c r="E9">
        <v>1</v>
      </c>
      <c r="F9">
        <v>0</v>
      </c>
      <c r="G9">
        <v>4</v>
      </c>
      <c r="H9">
        <v>20</v>
      </c>
      <c r="I9" s="1">
        <f t="shared" si="0"/>
        <v>50000</v>
      </c>
      <c r="J9">
        <f t="shared" si="1"/>
        <v>4.6989700043360187</v>
      </c>
    </row>
    <row r="10" spans="1:10" x14ac:dyDescent="0.2">
      <c r="A10">
        <v>18</v>
      </c>
      <c r="B10" t="s">
        <v>12</v>
      </c>
      <c r="C10" t="s">
        <v>17</v>
      </c>
      <c r="D10">
        <v>1</v>
      </c>
      <c r="E10">
        <v>1</v>
      </c>
      <c r="F10">
        <v>0</v>
      </c>
      <c r="G10">
        <v>4</v>
      </c>
      <c r="H10">
        <v>14</v>
      </c>
      <c r="I10" s="1">
        <f t="shared" si="0"/>
        <v>35000</v>
      </c>
      <c r="J10">
        <f t="shared" si="1"/>
        <v>4.5440680443502757</v>
      </c>
    </row>
    <row r="11" spans="1:10" x14ac:dyDescent="0.2">
      <c r="A11">
        <v>19</v>
      </c>
      <c r="B11" t="s">
        <v>12</v>
      </c>
      <c r="C11" t="s">
        <v>20</v>
      </c>
      <c r="D11">
        <v>1</v>
      </c>
      <c r="E11">
        <v>1</v>
      </c>
      <c r="F11">
        <v>0</v>
      </c>
      <c r="G11">
        <v>4</v>
      </c>
      <c r="H11">
        <v>24</v>
      </c>
      <c r="I11" s="1">
        <f t="shared" si="0"/>
        <v>60000</v>
      </c>
      <c r="J11">
        <f t="shared" si="1"/>
        <v>4.7781512503836439</v>
      </c>
    </row>
    <row r="12" spans="1:10" x14ac:dyDescent="0.2">
      <c r="A12">
        <v>20</v>
      </c>
      <c r="B12" t="s">
        <v>12</v>
      </c>
      <c r="C12" t="s">
        <v>23</v>
      </c>
      <c r="D12">
        <v>1</v>
      </c>
      <c r="E12">
        <v>1</v>
      </c>
      <c r="F12">
        <v>0</v>
      </c>
      <c r="G12">
        <v>4</v>
      </c>
      <c r="H12">
        <v>18</v>
      </c>
      <c r="I12" s="1">
        <f t="shared" si="0"/>
        <v>45000</v>
      </c>
      <c r="J12">
        <f t="shared" si="1"/>
        <v>4.653212513775344</v>
      </c>
    </row>
    <row r="13" spans="1:10" x14ac:dyDescent="0.2">
      <c r="A13">
        <v>21</v>
      </c>
      <c r="B13" t="s">
        <v>10</v>
      </c>
      <c r="C13" t="s">
        <v>11</v>
      </c>
      <c r="D13">
        <v>1</v>
      </c>
      <c r="E13">
        <v>1</v>
      </c>
      <c r="F13">
        <v>0</v>
      </c>
      <c r="G13">
        <v>4</v>
      </c>
      <c r="H13">
        <v>9</v>
      </c>
      <c r="I13" s="1">
        <f t="shared" si="0"/>
        <v>22500</v>
      </c>
      <c r="J13">
        <f t="shared" si="1"/>
        <v>4.3521825181113627</v>
      </c>
    </row>
    <row r="14" spans="1:10" x14ac:dyDescent="0.2">
      <c r="A14">
        <v>22</v>
      </c>
      <c r="B14" t="s">
        <v>10</v>
      </c>
      <c r="C14" t="s">
        <v>16</v>
      </c>
      <c r="D14">
        <v>1</v>
      </c>
      <c r="E14">
        <v>1</v>
      </c>
      <c r="F14">
        <v>0</v>
      </c>
      <c r="G14">
        <v>4</v>
      </c>
      <c r="H14">
        <v>16</v>
      </c>
      <c r="I14" s="1">
        <f t="shared" si="0"/>
        <v>40000</v>
      </c>
      <c r="J14">
        <f t="shared" si="1"/>
        <v>4.6020599913279625</v>
      </c>
    </row>
    <row r="15" spans="1:10" x14ac:dyDescent="0.2">
      <c r="A15">
        <v>23</v>
      </c>
      <c r="B15" t="s">
        <v>10</v>
      </c>
      <c r="C15" t="s">
        <v>19</v>
      </c>
      <c r="D15">
        <v>1</v>
      </c>
      <c r="E15">
        <v>1</v>
      </c>
      <c r="F15">
        <v>0</v>
      </c>
      <c r="G15">
        <v>4</v>
      </c>
      <c r="H15">
        <v>37</v>
      </c>
      <c r="I15" s="1">
        <f t="shared" si="0"/>
        <v>92500</v>
      </c>
      <c r="J15">
        <f t="shared" si="1"/>
        <v>4.9661417327390325</v>
      </c>
    </row>
    <row r="16" spans="1:10" x14ac:dyDescent="0.2">
      <c r="A16">
        <v>24</v>
      </c>
      <c r="B16" t="s">
        <v>10</v>
      </c>
      <c r="C16" t="s">
        <v>22</v>
      </c>
      <c r="D16">
        <v>1</v>
      </c>
      <c r="E16">
        <v>1</v>
      </c>
      <c r="F16">
        <v>0</v>
      </c>
      <c r="G16">
        <v>4</v>
      </c>
      <c r="H16">
        <v>26</v>
      </c>
      <c r="I16" s="1">
        <f t="shared" si="0"/>
        <v>65000</v>
      </c>
      <c r="J16">
        <f t="shared" si="1"/>
        <v>4.8129133566428557</v>
      </c>
    </row>
    <row r="17" spans="1:10" x14ac:dyDescent="0.2">
      <c r="A17">
        <v>13</v>
      </c>
      <c r="B17" t="s">
        <v>14</v>
      </c>
      <c r="C17" t="s">
        <v>15</v>
      </c>
      <c r="D17">
        <v>2</v>
      </c>
      <c r="E17">
        <v>3</v>
      </c>
      <c r="F17" s="2">
        <v>0.25</v>
      </c>
      <c r="G17">
        <v>4</v>
      </c>
      <c r="H17">
        <v>23</v>
      </c>
      <c r="I17" s="1">
        <f>(H17*10000)/(F17*4)</f>
        <v>230000</v>
      </c>
      <c r="J17">
        <f t="shared" si="1"/>
        <v>5.3617278360175931</v>
      </c>
    </row>
    <row r="18" spans="1:10" x14ac:dyDescent="0.2">
      <c r="A18">
        <v>14</v>
      </c>
      <c r="B18" t="s">
        <v>14</v>
      </c>
      <c r="C18" t="s">
        <v>18</v>
      </c>
      <c r="D18">
        <v>2</v>
      </c>
      <c r="E18">
        <v>3</v>
      </c>
      <c r="F18" s="2">
        <v>0.25</v>
      </c>
      <c r="G18">
        <v>4</v>
      </c>
      <c r="H18">
        <v>19</v>
      </c>
      <c r="I18" s="1">
        <f t="shared" ref="I18:I28" si="2">(H18*10000)/(F18*4)</f>
        <v>190000</v>
      </c>
      <c r="J18">
        <f t="shared" si="1"/>
        <v>5.2787536009528289</v>
      </c>
    </row>
    <row r="19" spans="1:10" x14ac:dyDescent="0.2">
      <c r="A19">
        <v>15</v>
      </c>
      <c r="B19" t="s">
        <v>14</v>
      </c>
      <c r="C19" t="s">
        <v>21</v>
      </c>
      <c r="D19">
        <v>2</v>
      </c>
      <c r="E19">
        <v>3</v>
      </c>
      <c r="F19" s="2">
        <v>0.25</v>
      </c>
      <c r="G19">
        <v>4</v>
      </c>
      <c r="H19">
        <v>37</v>
      </c>
      <c r="I19" s="1">
        <f t="shared" si="2"/>
        <v>370000</v>
      </c>
      <c r="J19">
        <f t="shared" si="1"/>
        <v>5.568201724066995</v>
      </c>
    </row>
    <row r="20" spans="1:10" x14ac:dyDescent="0.2">
      <c r="A20">
        <v>16</v>
      </c>
      <c r="B20" t="s">
        <v>14</v>
      </c>
      <c r="C20" t="s">
        <v>24</v>
      </c>
      <c r="D20">
        <v>2</v>
      </c>
      <c r="E20">
        <v>3</v>
      </c>
      <c r="F20" s="2">
        <v>0.25</v>
      </c>
      <c r="G20">
        <v>4</v>
      </c>
      <c r="H20">
        <v>27</v>
      </c>
      <c r="I20" s="1">
        <f t="shared" si="2"/>
        <v>270000</v>
      </c>
      <c r="J20">
        <f t="shared" si="1"/>
        <v>5.4313637641589869</v>
      </c>
    </row>
    <row r="21" spans="1:10" x14ac:dyDescent="0.2">
      <c r="A21">
        <v>17</v>
      </c>
      <c r="B21" t="s">
        <v>12</v>
      </c>
      <c r="C21" t="s">
        <v>13</v>
      </c>
      <c r="D21">
        <v>2</v>
      </c>
      <c r="E21">
        <v>3</v>
      </c>
      <c r="F21" s="2">
        <v>0.25</v>
      </c>
      <c r="G21">
        <v>4</v>
      </c>
      <c r="H21">
        <v>20</v>
      </c>
      <c r="I21" s="1">
        <f t="shared" si="2"/>
        <v>200000</v>
      </c>
      <c r="J21">
        <f t="shared" si="1"/>
        <v>5.3010299956639813</v>
      </c>
    </row>
    <row r="22" spans="1:10" x14ac:dyDescent="0.2">
      <c r="A22">
        <v>18</v>
      </c>
      <c r="B22" t="s">
        <v>12</v>
      </c>
      <c r="C22" t="s">
        <v>17</v>
      </c>
      <c r="D22">
        <v>2</v>
      </c>
      <c r="E22">
        <v>3</v>
      </c>
      <c r="F22" s="2">
        <v>0.25</v>
      </c>
      <c r="G22">
        <v>4</v>
      </c>
      <c r="H22">
        <v>4</v>
      </c>
      <c r="I22" s="1">
        <f t="shared" si="2"/>
        <v>40000</v>
      </c>
      <c r="J22">
        <f t="shared" si="1"/>
        <v>4.6020599913279625</v>
      </c>
    </row>
    <row r="23" spans="1:10" x14ac:dyDescent="0.2">
      <c r="A23">
        <v>19</v>
      </c>
      <c r="B23" t="s">
        <v>12</v>
      </c>
      <c r="C23" t="s">
        <v>20</v>
      </c>
      <c r="D23">
        <v>2</v>
      </c>
      <c r="E23">
        <v>3</v>
      </c>
      <c r="F23" s="2">
        <v>0.25</v>
      </c>
      <c r="G23">
        <v>4</v>
      </c>
      <c r="H23">
        <v>30</v>
      </c>
      <c r="I23" s="1">
        <f t="shared" si="2"/>
        <v>300000</v>
      </c>
      <c r="J23">
        <f t="shared" si="1"/>
        <v>5.4771212547196626</v>
      </c>
    </row>
    <row r="24" spans="1:10" x14ac:dyDescent="0.2">
      <c r="A24">
        <v>20</v>
      </c>
      <c r="B24" t="s">
        <v>12</v>
      </c>
      <c r="C24" t="s">
        <v>23</v>
      </c>
      <c r="D24">
        <v>2</v>
      </c>
      <c r="E24">
        <v>3</v>
      </c>
      <c r="F24" s="2">
        <v>0.25</v>
      </c>
      <c r="G24">
        <v>4</v>
      </c>
      <c r="H24">
        <v>38</v>
      </c>
      <c r="I24" s="1">
        <f t="shared" si="2"/>
        <v>380000</v>
      </c>
      <c r="J24">
        <f t="shared" si="1"/>
        <v>5.5797835966168101</v>
      </c>
    </row>
    <row r="25" spans="1:10" x14ac:dyDescent="0.2">
      <c r="A25">
        <v>21</v>
      </c>
      <c r="B25" t="s">
        <v>10</v>
      </c>
      <c r="C25" t="s">
        <v>11</v>
      </c>
      <c r="D25">
        <v>2</v>
      </c>
      <c r="E25">
        <v>3</v>
      </c>
      <c r="F25" s="2">
        <v>0.25</v>
      </c>
      <c r="G25">
        <v>4</v>
      </c>
      <c r="H25">
        <v>47</v>
      </c>
      <c r="I25" s="1">
        <f t="shared" si="2"/>
        <v>470000</v>
      </c>
      <c r="J25">
        <f t="shared" si="1"/>
        <v>5.6720978579357171</v>
      </c>
    </row>
    <row r="26" spans="1:10" x14ac:dyDescent="0.2">
      <c r="A26">
        <v>22</v>
      </c>
      <c r="B26" t="s">
        <v>10</v>
      </c>
      <c r="C26" t="s">
        <v>16</v>
      </c>
      <c r="D26">
        <v>2</v>
      </c>
      <c r="E26">
        <v>3</v>
      </c>
      <c r="F26" s="2">
        <v>0.25</v>
      </c>
      <c r="G26">
        <v>4</v>
      </c>
      <c r="H26">
        <v>38</v>
      </c>
      <c r="I26" s="1">
        <f t="shared" si="2"/>
        <v>380000</v>
      </c>
      <c r="J26">
        <f t="shared" si="1"/>
        <v>5.5797835966168101</v>
      </c>
    </row>
    <row r="27" spans="1:10" x14ac:dyDescent="0.2">
      <c r="A27">
        <v>23</v>
      </c>
      <c r="B27" t="s">
        <v>10</v>
      </c>
      <c r="C27" t="s">
        <v>19</v>
      </c>
      <c r="D27">
        <v>2</v>
      </c>
      <c r="E27">
        <v>3</v>
      </c>
      <c r="F27" s="2">
        <v>0.25</v>
      </c>
      <c r="G27">
        <v>4</v>
      </c>
      <c r="H27">
        <v>22</v>
      </c>
      <c r="I27" s="1">
        <f t="shared" si="2"/>
        <v>220000</v>
      </c>
      <c r="J27">
        <f t="shared" si="1"/>
        <v>5.3424226808222066</v>
      </c>
    </row>
    <row r="28" spans="1:10" x14ac:dyDescent="0.2">
      <c r="A28">
        <v>24</v>
      </c>
      <c r="B28" t="s">
        <v>10</v>
      </c>
      <c r="C28" t="s">
        <v>22</v>
      </c>
      <c r="D28">
        <v>2</v>
      </c>
      <c r="E28">
        <v>3</v>
      </c>
      <c r="F28" s="2">
        <v>0.25</v>
      </c>
      <c r="G28">
        <v>4</v>
      </c>
      <c r="H28">
        <v>47</v>
      </c>
      <c r="I28" s="1">
        <f t="shared" si="2"/>
        <v>470000</v>
      </c>
      <c r="J28">
        <f t="shared" si="1"/>
        <v>5.6720978579357171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2F7FB-AD62-C545-8B45-3520963E76D2}">
  <dimension ref="A1:M25"/>
  <sheetViews>
    <sheetView tabSelected="1" workbookViewId="0">
      <selection activeCell="L25" sqref="L25"/>
    </sheetView>
  </sheetViews>
  <sheetFormatPr baseColWidth="10" defaultRowHeight="16" x14ac:dyDescent="0.2"/>
  <cols>
    <col min="11" max="11" width="19.6640625" bestFit="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28</v>
      </c>
      <c r="H1" t="s">
        <v>26</v>
      </c>
      <c r="I1" t="s">
        <v>25</v>
      </c>
      <c r="J1" t="s">
        <v>27</v>
      </c>
      <c r="K1" t="s">
        <v>29</v>
      </c>
      <c r="L1" t="s">
        <v>31</v>
      </c>
      <c r="M1" t="s">
        <v>30</v>
      </c>
    </row>
    <row r="2" spans="1:13" x14ac:dyDescent="0.2">
      <c r="A2">
        <v>1</v>
      </c>
      <c r="B2" t="s">
        <v>14</v>
      </c>
      <c r="C2" t="s">
        <v>15</v>
      </c>
      <c r="D2">
        <v>0</v>
      </c>
      <c r="E2">
        <v>0</v>
      </c>
      <c r="F2">
        <v>-6</v>
      </c>
      <c r="G2">
        <v>7</v>
      </c>
      <c r="H2" t="s">
        <v>14</v>
      </c>
      <c r="I2">
        <v>22</v>
      </c>
      <c r="J2" s="1">
        <f>10^G2*I2</f>
        <v>220000000</v>
      </c>
      <c r="K2" s="1">
        <f>(J2*M2)/300</f>
        <v>15667.283866666667</v>
      </c>
      <c r="L2">
        <f>LOG10(K2)</f>
        <v>4.194993712233571</v>
      </c>
      <c r="M2">
        <v>2.1364477999999999E-2</v>
      </c>
    </row>
    <row r="3" spans="1:13" x14ac:dyDescent="0.2">
      <c r="A3">
        <v>2</v>
      </c>
      <c r="B3" t="s">
        <v>14</v>
      </c>
      <c r="C3" t="s">
        <v>18</v>
      </c>
      <c r="D3">
        <v>0</v>
      </c>
      <c r="E3">
        <v>0</v>
      </c>
      <c r="F3">
        <v>-6</v>
      </c>
      <c r="G3">
        <v>7</v>
      </c>
      <c r="H3" t="s">
        <v>14</v>
      </c>
      <c r="I3">
        <v>2</v>
      </c>
      <c r="J3" s="1">
        <f t="shared" ref="J3:J25" si="0">10^G3*I3</f>
        <v>20000000</v>
      </c>
      <c r="K3" s="1">
        <f t="shared" ref="K3:K9" si="1">(J3*M3)/300</f>
        <v>1424.2985333333334</v>
      </c>
      <c r="L3">
        <f t="shared" ref="L3:L25" si="2">LOG10(K3)</f>
        <v>3.1536010270753465</v>
      </c>
      <c r="M3">
        <v>2.1364477999999999E-2</v>
      </c>
    </row>
    <row r="4" spans="1:13" x14ac:dyDescent="0.2">
      <c r="A4">
        <v>3</v>
      </c>
      <c r="B4" t="s">
        <v>14</v>
      </c>
      <c r="C4" t="s">
        <v>21</v>
      </c>
      <c r="D4">
        <v>0</v>
      </c>
      <c r="E4">
        <v>0</v>
      </c>
      <c r="F4">
        <v>-6</v>
      </c>
      <c r="G4">
        <v>7</v>
      </c>
      <c r="H4" t="s">
        <v>14</v>
      </c>
      <c r="I4">
        <v>48</v>
      </c>
      <c r="J4" s="1">
        <f t="shared" si="0"/>
        <v>480000000</v>
      </c>
      <c r="K4" s="1">
        <f t="shared" si="1"/>
        <v>36319.612639999999</v>
      </c>
      <c r="L4">
        <f t="shared" si="2"/>
        <v>4.5601412079876047</v>
      </c>
      <c r="M4">
        <v>2.2699757899999999E-2</v>
      </c>
    </row>
    <row r="5" spans="1:13" x14ac:dyDescent="0.2">
      <c r="A5">
        <v>4</v>
      </c>
      <c r="B5" t="s">
        <v>14</v>
      </c>
      <c r="C5" t="s">
        <v>24</v>
      </c>
      <c r="D5">
        <v>0</v>
      </c>
      <c r="E5">
        <v>0</v>
      </c>
      <c r="F5">
        <v>-6</v>
      </c>
      <c r="G5">
        <v>7</v>
      </c>
      <c r="H5" t="s">
        <v>14</v>
      </c>
      <c r="I5">
        <v>4</v>
      </c>
      <c r="J5" s="1">
        <f t="shared" si="0"/>
        <v>40000000</v>
      </c>
      <c r="K5" s="1">
        <f t="shared" si="1"/>
        <v>2575.8590533333336</v>
      </c>
      <c r="L5">
        <f t="shared" si="2"/>
        <v>3.4109220954757156</v>
      </c>
      <c r="M5">
        <v>1.93189429E-2</v>
      </c>
    </row>
    <row r="6" spans="1:13" x14ac:dyDescent="0.2">
      <c r="A6">
        <v>5</v>
      </c>
      <c r="B6" t="s">
        <v>12</v>
      </c>
      <c r="C6" t="s">
        <v>13</v>
      </c>
      <c r="D6">
        <v>0</v>
      </c>
      <c r="E6">
        <v>0</v>
      </c>
      <c r="F6">
        <v>-7</v>
      </c>
      <c r="G6">
        <v>8</v>
      </c>
      <c r="H6" t="s">
        <v>12</v>
      </c>
      <c r="I6">
        <v>25</v>
      </c>
      <c r="J6" s="1">
        <f t="shared" si="0"/>
        <v>2500000000</v>
      </c>
      <c r="K6" s="1">
        <f t="shared" si="1"/>
        <v>144035.76666666666</v>
      </c>
      <c r="L6">
        <f t="shared" si="2"/>
        <v>5.1584703486036894</v>
      </c>
      <c r="M6">
        <v>1.7284292E-2</v>
      </c>
    </row>
    <row r="7" spans="1:13" x14ac:dyDescent="0.2">
      <c r="A7">
        <v>6</v>
      </c>
      <c r="B7" t="s">
        <v>12</v>
      </c>
      <c r="C7" t="s">
        <v>17</v>
      </c>
      <c r="D7">
        <v>0</v>
      </c>
      <c r="E7">
        <v>0</v>
      </c>
      <c r="F7">
        <v>-5</v>
      </c>
      <c r="G7">
        <v>6</v>
      </c>
      <c r="H7" t="s">
        <v>12</v>
      </c>
      <c r="I7">
        <v>63</v>
      </c>
      <c r="J7" s="1">
        <f t="shared" si="0"/>
        <v>63000000</v>
      </c>
      <c r="K7" s="1">
        <f t="shared" si="1"/>
        <v>3167.7393299999999</v>
      </c>
      <c r="L7">
        <f t="shared" si="2"/>
        <v>3.5007494367431073</v>
      </c>
      <c r="M7">
        <v>1.5084472999999999E-2</v>
      </c>
    </row>
    <row r="8" spans="1:13" x14ac:dyDescent="0.2">
      <c r="A8">
        <v>7</v>
      </c>
      <c r="B8" t="s">
        <v>12</v>
      </c>
      <c r="C8" t="s">
        <v>20</v>
      </c>
      <c r="D8">
        <v>0</v>
      </c>
      <c r="E8">
        <v>0</v>
      </c>
      <c r="F8">
        <v>-6</v>
      </c>
      <c r="G8">
        <v>7</v>
      </c>
      <c r="H8" t="s">
        <v>12</v>
      </c>
      <c r="I8">
        <v>59</v>
      </c>
      <c r="J8" s="1">
        <f t="shared" si="0"/>
        <v>590000000</v>
      </c>
      <c r="K8" s="1">
        <f t="shared" si="1"/>
        <v>32962.367013333336</v>
      </c>
      <c r="L8">
        <f t="shared" si="2"/>
        <v>4.5180183906439781</v>
      </c>
      <c r="M8">
        <v>1.6760525599999999E-2</v>
      </c>
    </row>
    <row r="9" spans="1:13" x14ac:dyDescent="0.2">
      <c r="A9">
        <v>8</v>
      </c>
      <c r="B9" t="s">
        <v>12</v>
      </c>
      <c r="C9" t="s">
        <v>23</v>
      </c>
      <c r="D9">
        <v>0</v>
      </c>
      <c r="E9">
        <v>0</v>
      </c>
      <c r="F9">
        <v>-6</v>
      </c>
      <c r="G9">
        <v>7</v>
      </c>
      <c r="H9" t="s">
        <v>12</v>
      </c>
      <c r="I9">
        <v>73</v>
      </c>
      <c r="J9" s="1">
        <f t="shared" si="0"/>
        <v>730000000</v>
      </c>
      <c r="K9" s="1">
        <f t="shared" si="1"/>
        <v>42058.443866666668</v>
      </c>
      <c r="L9">
        <f t="shared" si="2"/>
        <v>4.6238532000521078</v>
      </c>
      <c r="M9">
        <v>1.7284292E-2</v>
      </c>
    </row>
    <row r="10" spans="1:13" x14ac:dyDescent="0.2">
      <c r="A10">
        <v>9</v>
      </c>
      <c r="B10" t="s">
        <v>10</v>
      </c>
      <c r="C10" t="s">
        <v>11</v>
      </c>
      <c r="D10">
        <v>0</v>
      </c>
      <c r="E10">
        <v>0</v>
      </c>
      <c r="H10" t="s">
        <v>10</v>
      </c>
      <c r="J10" s="1">
        <f t="shared" si="0"/>
        <v>0</v>
      </c>
    </row>
    <row r="11" spans="1:13" x14ac:dyDescent="0.2">
      <c r="A11">
        <v>10</v>
      </c>
      <c r="B11" t="s">
        <v>10</v>
      </c>
      <c r="C11" t="s">
        <v>16</v>
      </c>
      <c r="D11">
        <v>0</v>
      </c>
      <c r="E11">
        <v>0</v>
      </c>
      <c r="H11" t="s">
        <v>10</v>
      </c>
      <c r="J11" s="1">
        <f t="shared" si="0"/>
        <v>0</v>
      </c>
    </row>
    <row r="12" spans="1:13" x14ac:dyDescent="0.2">
      <c r="A12">
        <v>11</v>
      </c>
      <c r="B12" t="s">
        <v>10</v>
      </c>
      <c r="C12" t="s">
        <v>19</v>
      </c>
      <c r="D12">
        <v>0</v>
      </c>
      <c r="E12">
        <v>0</v>
      </c>
      <c r="H12" t="s">
        <v>10</v>
      </c>
      <c r="J12" s="1">
        <f t="shared" si="0"/>
        <v>0</v>
      </c>
    </row>
    <row r="13" spans="1:13" x14ac:dyDescent="0.2">
      <c r="A13">
        <v>12</v>
      </c>
      <c r="B13" t="s">
        <v>10</v>
      </c>
      <c r="C13" t="s">
        <v>22</v>
      </c>
      <c r="D13">
        <v>0</v>
      </c>
      <c r="E13">
        <v>0</v>
      </c>
      <c r="H13" t="s">
        <v>10</v>
      </c>
      <c r="J13" s="1">
        <f t="shared" si="0"/>
        <v>0</v>
      </c>
      <c r="K13" s="1"/>
    </row>
    <row r="14" spans="1:13" x14ac:dyDescent="0.2">
      <c r="A14">
        <v>13</v>
      </c>
      <c r="B14" t="s">
        <v>14</v>
      </c>
      <c r="C14" t="s">
        <v>15</v>
      </c>
      <c r="D14">
        <v>0</v>
      </c>
      <c r="E14">
        <v>0</v>
      </c>
      <c r="F14">
        <v>-6</v>
      </c>
      <c r="G14">
        <v>7</v>
      </c>
      <c r="H14" t="s">
        <v>14</v>
      </c>
      <c r="I14">
        <v>22</v>
      </c>
      <c r="J14" s="1">
        <f t="shared" si="0"/>
        <v>220000000</v>
      </c>
      <c r="K14" s="1">
        <f>(J14*M2)/300</f>
        <v>15667.283866666667</v>
      </c>
      <c r="L14">
        <f t="shared" si="2"/>
        <v>4.194993712233571</v>
      </c>
      <c r="M14">
        <v>2.1364477999999999E-2</v>
      </c>
    </row>
    <row r="15" spans="1:13" x14ac:dyDescent="0.2">
      <c r="A15">
        <v>14</v>
      </c>
      <c r="B15" t="s">
        <v>14</v>
      </c>
      <c r="C15" t="s">
        <v>18</v>
      </c>
      <c r="D15">
        <v>0</v>
      </c>
      <c r="E15">
        <v>0</v>
      </c>
      <c r="F15">
        <v>-6</v>
      </c>
      <c r="G15">
        <v>7</v>
      </c>
      <c r="H15" t="s">
        <v>14</v>
      </c>
      <c r="I15">
        <v>2</v>
      </c>
      <c r="J15" s="1">
        <f t="shared" si="0"/>
        <v>20000000</v>
      </c>
      <c r="K15" s="1">
        <f t="shared" ref="K15:K21" si="3">(J15*M3)/300</f>
        <v>1424.2985333333334</v>
      </c>
      <c r="L15">
        <f t="shared" si="2"/>
        <v>3.1536010270753465</v>
      </c>
      <c r="M15">
        <v>2.1364477999999999E-2</v>
      </c>
    </row>
    <row r="16" spans="1:13" x14ac:dyDescent="0.2">
      <c r="A16">
        <v>15</v>
      </c>
      <c r="B16" t="s">
        <v>14</v>
      </c>
      <c r="C16" t="s">
        <v>21</v>
      </c>
      <c r="D16">
        <v>0</v>
      </c>
      <c r="E16">
        <v>0</v>
      </c>
      <c r="F16">
        <v>-6</v>
      </c>
      <c r="G16">
        <v>7</v>
      </c>
      <c r="H16" t="s">
        <v>14</v>
      </c>
      <c r="I16">
        <v>48</v>
      </c>
      <c r="J16" s="1">
        <f t="shared" si="0"/>
        <v>480000000</v>
      </c>
      <c r="K16" s="1">
        <f t="shared" si="3"/>
        <v>36319.612639999999</v>
      </c>
      <c r="L16">
        <f t="shared" si="2"/>
        <v>4.5601412079876047</v>
      </c>
      <c r="M16">
        <v>2.2699757899999999E-2</v>
      </c>
    </row>
    <row r="17" spans="1:13" x14ac:dyDescent="0.2">
      <c r="A17">
        <v>16</v>
      </c>
      <c r="B17" t="s">
        <v>14</v>
      </c>
      <c r="C17" t="s">
        <v>24</v>
      </c>
      <c r="D17">
        <v>0</v>
      </c>
      <c r="E17">
        <v>0</v>
      </c>
      <c r="F17">
        <v>-6</v>
      </c>
      <c r="G17">
        <v>7</v>
      </c>
      <c r="H17" t="s">
        <v>14</v>
      </c>
      <c r="I17">
        <v>4</v>
      </c>
      <c r="J17" s="1">
        <f t="shared" si="0"/>
        <v>40000000</v>
      </c>
      <c r="K17" s="1">
        <f t="shared" si="3"/>
        <v>2575.8590533333336</v>
      </c>
      <c r="L17">
        <f t="shared" si="2"/>
        <v>3.4109220954757156</v>
      </c>
      <c r="M17">
        <v>1.93189429E-2</v>
      </c>
    </row>
    <row r="18" spans="1:13" x14ac:dyDescent="0.2">
      <c r="A18">
        <v>17</v>
      </c>
      <c r="B18" t="s">
        <v>12</v>
      </c>
      <c r="C18" t="s">
        <v>13</v>
      </c>
      <c r="D18">
        <v>0</v>
      </c>
      <c r="E18">
        <v>0</v>
      </c>
      <c r="F18">
        <v>-7</v>
      </c>
      <c r="G18">
        <v>8</v>
      </c>
      <c r="H18" t="s">
        <v>12</v>
      </c>
      <c r="I18">
        <v>25</v>
      </c>
      <c r="J18" s="1">
        <f t="shared" si="0"/>
        <v>2500000000</v>
      </c>
      <c r="K18" s="1">
        <f t="shared" si="3"/>
        <v>144035.76666666666</v>
      </c>
      <c r="L18">
        <f t="shared" si="2"/>
        <v>5.1584703486036894</v>
      </c>
      <c r="M18">
        <v>1.7284292E-2</v>
      </c>
    </row>
    <row r="19" spans="1:13" x14ac:dyDescent="0.2">
      <c r="A19">
        <v>18</v>
      </c>
      <c r="B19" t="s">
        <v>12</v>
      </c>
      <c r="C19" t="s">
        <v>17</v>
      </c>
      <c r="D19">
        <v>0</v>
      </c>
      <c r="E19">
        <v>0</v>
      </c>
      <c r="F19">
        <v>-5</v>
      </c>
      <c r="G19">
        <v>6</v>
      </c>
      <c r="H19" t="s">
        <v>12</v>
      </c>
      <c r="I19">
        <v>63</v>
      </c>
      <c r="J19" s="1">
        <f t="shared" si="0"/>
        <v>63000000</v>
      </c>
      <c r="K19" s="1">
        <f t="shared" si="3"/>
        <v>3167.7393299999999</v>
      </c>
      <c r="L19">
        <f t="shared" si="2"/>
        <v>3.5007494367431073</v>
      </c>
      <c r="M19">
        <v>1.5084472999999999E-2</v>
      </c>
    </row>
    <row r="20" spans="1:13" x14ac:dyDescent="0.2">
      <c r="A20">
        <v>19</v>
      </c>
      <c r="B20" t="s">
        <v>12</v>
      </c>
      <c r="C20" t="s">
        <v>20</v>
      </c>
      <c r="D20">
        <v>0</v>
      </c>
      <c r="E20">
        <v>0</v>
      </c>
      <c r="F20">
        <v>-6</v>
      </c>
      <c r="G20">
        <v>7</v>
      </c>
      <c r="H20" t="s">
        <v>12</v>
      </c>
      <c r="I20">
        <v>59</v>
      </c>
      <c r="J20" s="1">
        <f t="shared" si="0"/>
        <v>590000000</v>
      </c>
      <c r="K20" s="1">
        <f t="shared" si="3"/>
        <v>32962.367013333336</v>
      </c>
      <c r="L20">
        <f t="shared" si="2"/>
        <v>4.5180183906439781</v>
      </c>
      <c r="M20">
        <v>1.6760525599999999E-2</v>
      </c>
    </row>
    <row r="21" spans="1:13" x14ac:dyDescent="0.2">
      <c r="A21">
        <v>20</v>
      </c>
      <c r="B21" t="s">
        <v>12</v>
      </c>
      <c r="C21" t="s">
        <v>23</v>
      </c>
      <c r="D21">
        <v>0</v>
      </c>
      <c r="E21">
        <v>0</v>
      </c>
      <c r="F21">
        <v>-6</v>
      </c>
      <c r="G21">
        <v>7</v>
      </c>
      <c r="H21" t="s">
        <v>12</v>
      </c>
      <c r="I21">
        <v>73</v>
      </c>
      <c r="J21" s="1">
        <f t="shared" si="0"/>
        <v>730000000</v>
      </c>
      <c r="K21" s="1">
        <f t="shared" si="3"/>
        <v>42058.443866666668</v>
      </c>
      <c r="L21">
        <f t="shared" si="2"/>
        <v>4.6238532000521078</v>
      </c>
      <c r="M21">
        <v>1.7284292E-2</v>
      </c>
    </row>
    <row r="22" spans="1:13" x14ac:dyDescent="0.2">
      <c r="A22">
        <v>21</v>
      </c>
      <c r="B22" t="s">
        <v>10</v>
      </c>
      <c r="C22" t="s">
        <v>11</v>
      </c>
      <c r="D22">
        <v>0</v>
      </c>
      <c r="E22">
        <v>0</v>
      </c>
      <c r="H22" t="s">
        <v>10</v>
      </c>
      <c r="J22" s="1">
        <f t="shared" si="0"/>
        <v>0</v>
      </c>
    </row>
    <row r="23" spans="1:13" x14ac:dyDescent="0.2">
      <c r="A23">
        <v>22</v>
      </c>
      <c r="B23" t="s">
        <v>10</v>
      </c>
      <c r="C23" t="s">
        <v>16</v>
      </c>
      <c r="D23">
        <v>0</v>
      </c>
      <c r="E23">
        <v>0</v>
      </c>
      <c r="H23" t="s">
        <v>10</v>
      </c>
      <c r="J23" s="1">
        <f t="shared" si="0"/>
        <v>0</v>
      </c>
    </row>
    <row r="24" spans="1:13" x14ac:dyDescent="0.2">
      <c r="A24">
        <v>23</v>
      </c>
      <c r="B24" t="s">
        <v>10</v>
      </c>
      <c r="C24" t="s">
        <v>19</v>
      </c>
      <c r="D24">
        <v>0</v>
      </c>
      <c r="E24">
        <v>0</v>
      </c>
      <c r="H24" t="s">
        <v>10</v>
      </c>
      <c r="J24" s="1">
        <f t="shared" si="0"/>
        <v>0</v>
      </c>
    </row>
    <row r="25" spans="1:13" x14ac:dyDescent="0.2">
      <c r="A25">
        <v>24</v>
      </c>
      <c r="B25" t="s">
        <v>10</v>
      </c>
      <c r="C25" t="s">
        <v>22</v>
      </c>
      <c r="D25">
        <v>0</v>
      </c>
      <c r="E25">
        <v>0</v>
      </c>
      <c r="H25" t="s">
        <v>10</v>
      </c>
      <c r="J25" s="1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NH4+</vt:lpstr>
      <vt:lpstr>F2</vt:lpstr>
      <vt:lpstr>CFU</vt:lpstr>
      <vt:lpstr>'NH4+'!Abundance_Tetraselmis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2022-06-16T15:39:33Z</dcterms:created>
  <dcterms:modified xsi:type="dcterms:W3CDTF">2022-06-19T12:21:09Z</dcterms:modified>
</cp:coreProperties>
</file>